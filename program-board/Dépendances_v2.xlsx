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b\program-board\"/>
    </mc:Choice>
  </mc:AlternateContent>
  <xr:revisionPtr revIDLastSave="0" documentId="13_ncr:1_{13ECD896-53AB-416A-8735-E9FABDF9B10D}" xr6:coauthVersionLast="47" xr6:coauthVersionMax="47" xr10:uidLastSave="{00000000-0000-0000-0000-000000000000}"/>
  <bookViews>
    <workbookView xWindow="-110" yWindow="-110" windowWidth="38620" windowHeight="21100" activeTab="4" xr2:uid="{4E4C80DF-6EF0-48F5-A3A2-DBD5C53C5CB0}"/>
  </bookViews>
  <sheets>
    <sheet name="Features" sheetId="1" r:id="rId1"/>
    <sheet name="US" sheetId="2" r:id="rId2"/>
    <sheet name="US Cleané" sheetId="3" r:id="rId3"/>
    <sheet name="Dépendances_Synthèse" sheetId="11" r:id="rId4"/>
    <sheet name="CONFIG_Squads" sheetId="5" r:id="rId5"/>
  </sheets>
  <definedNames>
    <definedName name="_xlnm._FilterDatabase" localSheetId="3" hidden="1">Dépendances_Synthèse!$A$2:$R$500</definedName>
    <definedName name="ExternalData_1" localSheetId="2" hidden="1">'US Cleané'!$A$1:$L$316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S2" i="11" l="1" a="1"/>
  <c r="A3" i="11" l="1" a="1"/>
  <c r="S2" i="11"/>
  <c r="A3" i="11" l="1"/>
  <c r="F3" i="11" s="1" a="1"/>
  <c r="F3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32C919-828A-4CCC-8B85-D8C8CD94E3CA}" keepAlive="1" name="Query - _Liens_Normalisés" description="Connection to the '_Liens_Normalisés' query in the workbook." type="5" refreshedVersion="8" background="1" saveData="1">
    <dbPr connection="Provider=Microsoft.Mashup.OleDb.1;Data Source=$Workbook$;Location=_Liens_Normalisés;Extended Properties=&quot;&quot;" command="SELECT * FROM [_Liens_Normalisés]"/>
  </connection>
  <connection id="2" xr16:uid="{581EAA35-2855-4496-9D34-E6F0F23FC534}" keepAlive="1" name="Query - _Tickets_Unifiés" description="Connection to the '_Tickets_Unifiés' query in the workbook." type="5" refreshedVersion="8" background="1" saveData="1">
    <dbPr connection="Provider=Microsoft.Mashup.OleDb.1;Data Source=$Workbook$;Location=_Tickets_Unifiés;Extended Properties=&quot;&quot;" command="SELECT * FROM [_Tickets_Unifiés]"/>
  </connection>
  <connection id="3" xr16:uid="{FBDE55B5-9F2D-4626-AAB4-59F06C33E0DB}" keepAlive="1" name="Query - Dépendances_Jira" description="Connection to the 'Dépendances_Jira' query in the workbook." type="5" refreshedVersion="0" background="1" saveData="1">
    <dbPr connection="Provider=Microsoft.Mashup.OleDb.1;Data Source=$Workbook$;Location=Dépendances_Jira;Extended Properties=&quot;&quot;" command="SELECT * FROM [Dépendances_Jira]"/>
  </connection>
  <connection id="4" xr16:uid="{9BF80EA7-C66E-49D8-8245-52CD53F7518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<sst xmlns="http://schemas.openxmlformats.org/spreadsheetml/2006/main" count="6079" uniqueCount="974">
  <si>
    <t>Projet</t>
  </si>
  <si>
    <t>Type de ticket</t>
  </si>
  <si>
    <t>Clé</t>
  </si>
  <si>
    <t>Résumé</t>
  </si>
  <si>
    <t>Personne assignée</t>
  </si>
  <si>
    <t>Rapporteur</t>
  </si>
  <si>
    <t>Priorité</t>
  </si>
  <si>
    <t>État</t>
  </si>
  <si>
    <t>Résolution</t>
  </si>
  <si>
    <t>Création</t>
  </si>
  <si>
    <t>Mise à jour</t>
  </si>
  <si>
    <t>Date d'échéance</t>
  </si>
  <si>
    <t>Tickets liés</t>
  </si>
  <si>
    <t>Selligent</t>
  </si>
  <si>
    <t>Epic</t>
  </si>
  <si>
    <t>SLG-2248</t>
  </si>
  <si>
    <t>[SELLIGENT] Traitements techniques et évolutions mineures PI24</t>
  </si>
  <si>
    <t>Serge CORDEIRO</t>
  </si>
  <si>
    <t>Joris IRVOAS</t>
  </si>
  <si>
    <t>P2 Haute</t>
  </si>
  <si>
    <t>Backlog</t>
  </si>
  <si>
    <t>SLG-2240</t>
  </si>
  <si>
    <t>[SELLIGENT] - [RECO LFM] : Recommandation récupérée à partir d'un formulaire (LFM)</t>
  </si>
  <si>
    <t>Christophe DAGORN</t>
  </si>
  <si>
    <t>Nicolas JULIENNE</t>
  </si>
  <si>
    <t>Cadrage</t>
  </si>
  <si>
    <t>SLG-2212</t>
  </si>
  <si>
    <t>[SELLIGENT] : Traitements AUXIA (Zip Contrats et Export AUXIA BDAP)</t>
  </si>
  <si>
    <t>Sabrina CLISSON</t>
  </si>
  <si>
    <t>Prêt pour développement</t>
  </si>
  <si>
    <t>SLG-2149</t>
  </si>
  <si>
    <t>SLG-2211</t>
  </si>
  <si>
    <t>[SELLIGENT] - Projet Distribution Multicanal (BMC)</t>
  </si>
  <si>
    <t>Abandonnée</t>
  </si>
  <si>
    <t>SLG-2207</t>
  </si>
  <si>
    <t>[SELLIGENT] - [MH.COM] : Evolution du "Code Origine" et "Code UTM"</t>
  </si>
  <si>
    <t>SLG-2197</t>
  </si>
  <si>
    <t>[SELLIGENT] - Projet NEW RCU</t>
  </si>
  <si>
    <t>SLG-2196</t>
  </si>
  <si>
    <t>[SELLIGENT] - [DDT 2026] : Mise en conformité DDT Aout 2026</t>
  </si>
  <si>
    <t>Refonte Back Office PULSE</t>
  </si>
  <si>
    <t>RBOP-6782</t>
  </si>
  <si>
    <t>Mhouv Coll : récupération de données et Flux BMC</t>
  </si>
  <si>
    <t>Severine MALLET</t>
  </si>
  <si>
    <t>RBOP-6746</t>
  </si>
  <si>
    <t>QDD - Mise en conformité des données Pulse pour migration newCRM</t>
  </si>
  <si>
    <t>RBOP-6745</t>
  </si>
  <si>
    <t>Migration RCU =&gt; NewRCU</t>
  </si>
  <si>
    <t>RBOP-6744</t>
  </si>
  <si>
    <t>Migration BMC V1 =&gt; V3</t>
  </si>
  <si>
    <t>RBOP-6743</t>
  </si>
  <si>
    <t>Pulse MCO PI24</t>
  </si>
  <si>
    <t>En développement</t>
  </si>
  <si>
    <t>RBOP-6732</t>
  </si>
  <si>
    <t>[FDR PI 24]</t>
  </si>
  <si>
    <t>RBOP-6540</t>
  </si>
  <si>
    <t>Migration Tempo de la 4D 20 R7 H (version hot fixé) vers 4D 21 LTS</t>
  </si>
  <si>
    <t>Validation fonctionnelle</t>
  </si>
  <si>
    <t>RBOP-6189</t>
  </si>
  <si>
    <t xml:space="preserve">[SELFCARE] Projet &amp; Déro : Créer et compléter les projets et déro </t>
  </si>
  <si>
    <t>Ummal LUU</t>
  </si>
  <si>
    <t>RBOP-6188</t>
  </si>
  <si>
    <t>[SELFCARE Parcours] : Enregistrer un parcours dans Pulse</t>
  </si>
  <si>
    <t>RBOP-6142</t>
  </si>
  <si>
    <t>[INDUSTRIALISATION CCN ] : Evolutions Pulse</t>
  </si>
  <si>
    <t>Pierre-Louis VINCENT</t>
  </si>
  <si>
    <t>RBOP-5825</t>
  </si>
  <si>
    <t>[SELFCARE] Actions : Gérer les actions de relances dans Pulse</t>
  </si>
  <si>
    <t>Jean Francois BEN</t>
  </si>
  <si>
    <t>RBOP-5804</t>
  </si>
  <si>
    <t>Tunnel de vente (STEP)</t>
  </si>
  <si>
    <t>PVP-2935</t>
  </si>
  <si>
    <t>✏️ Conception - Evolutions FIC audit</t>
  </si>
  <si>
    <t>Sophie DELAUX</t>
  </si>
  <si>
    <t>PVP-2895</t>
  </si>
  <si>
    <t>✏️ Conception - Traitement des leads</t>
  </si>
  <si>
    <t>PVP-2894</t>
  </si>
  <si>
    <t>✏️ Conception - Branchement comparateurs</t>
  </si>
  <si>
    <t>PVP-2411</t>
  </si>
  <si>
    <t>PVP-2882</t>
  </si>
  <si>
    <t>ADHINCS 🌿 (V1)</t>
  </si>
  <si>
    <t>PVP-2880</t>
  </si>
  <si>
    <t>[Technique] Gestion des erreurs</t>
  </si>
  <si>
    <t>Samy SENANI</t>
  </si>
  <si>
    <t>P0 Critique</t>
  </si>
  <si>
    <t>PVP-2785</t>
  </si>
  <si>
    <t>[PI24] Evolutions techniques</t>
  </si>
  <si>
    <t>PVP-2784</t>
  </si>
  <si>
    <t>Noor OUALI</t>
  </si>
  <si>
    <t>PVP-2711</t>
  </si>
  <si>
    <t>[PI24] Anomalies</t>
  </si>
  <si>
    <t>PVP-2604</t>
  </si>
  <si>
    <t>ADHINCS 🌱 (MVP)</t>
  </si>
  <si>
    <t>PVP-2434</t>
  </si>
  <si>
    <t>Conformité DDT 🌱 (MVP)</t>
  </si>
  <si>
    <t>NEXT</t>
  </si>
  <si>
    <t>NXT-8505</t>
  </si>
  <si>
    <t>[Décret Démarchage Téléphonique] Evoiutions réglementaires 2026</t>
  </si>
  <si>
    <t>Danae TOUBIANA</t>
  </si>
  <si>
    <t>Douchan DJUKIC</t>
  </si>
  <si>
    <t>P1 Urgente</t>
  </si>
  <si>
    <t>NXT-8477</t>
  </si>
  <si>
    <t>[Backoffice] Migration de PrimeNG vers le Design System MH</t>
  </si>
  <si>
    <t>Rafael ESPARON</t>
  </si>
  <si>
    <t>NXT-8291</t>
  </si>
  <si>
    <t>NEW RCU</t>
  </si>
  <si>
    <t>Helene PIONNEAU</t>
  </si>
  <si>
    <t>NXT-8225</t>
  </si>
  <si>
    <t>Industrialisation CCN: BET santé et prévoyance flux aller</t>
  </si>
  <si>
    <t>Celine BEAUQUIN</t>
  </si>
  <si>
    <t>NXT-7609</t>
  </si>
  <si>
    <t>[ACCESSMH] Refonte - Liste des utilisateurs</t>
  </si>
  <si>
    <t>David MOULANIER</t>
  </si>
  <si>
    <t>Projet MH.com SMILE</t>
  </si>
  <si>
    <t>J5-5016</t>
  </si>
  <si>
    <t>Sécurisation contrib &amp; BO</t>
  </si>
  <si>
    <t>Elodie LOUVETZ</t>
  </si>
  <si>
    <t>J5-4989</t>
  </si>
  <si>
    <t>Optim FAQ GEO lot2</t>
  </si>
  <si>
    <t>J5-4988</t>
  </si>
  <si>
    <t>Optim Design</t>
  </si>
  <si>
    <t>J5-4986</t>
  </si>
  <si>
    <t>Optim switch lot2</t>
  </si>
  <si>
    <t>J5-4958</t>
  </si>
  <si>
    <t>Workflow lot2</t>
  </si>
  <si>
    <t>J5-4903</t>
  </si>
  <si>
    <t>Conf fasterize</t>
  </si>
  <si>
    <t>J5-4902</t>
  </si>
  <si>
    <t>Content type CCN</t>
  </si>
  <si>
    <t>J5-4897</t>
  </si>
  <si>
    <t>Dossier thématique</t>
  </si>
  <si>
    <t>J5-4894</t>
  </si>
  <si>
    <t>Données structurées lot2</t>
  </si>
  <si>
    <t>J5-4875</t>
  </si>
  <si>
    <t>Avis vérifiés lot 2</t>
  </si>
  <si>
    <t>J5-4767</t>
  </si>
  <si>
    <t>Désactiver ajout auto boutons</t>
  </si>
  <si>
    <t>Clody MIATTI</t>
  </si>
  <si>
    <t>J5-4758</t>
  </si>
  <si>
    <t>DDT26 (lot2)</t>
  </si>
  <si>
    <t>Christophe CLAVREUIL</t>
  </si>
  <si>
    <t>J5-4695</t>
  </si>
  <si>
    <t>Page éditoriale</t>
  </si>
  <si>
    <t>J5-4669</t>
  </si>
  <si>
    <t>Poursuivre l’implémentation du tracking générique + tracking server-side</t>
  </si>
  <si>
    <t>J5-4664</t>
  </si>
  <si>
    <t>Sécurisation socle technique</t>
  </si>
  <si>
    <t>J5-4574</t>
  </si>
  <si>
    <t>Stack Front Lot2</t>
  </si>
  <si>
    <t>Jerome SICARD</t>
  </si>
  <si>
    <t>J5-4280</t>
  </si>
  <si>
    <t>BMC</t>
  </si>
  <si>
    <t>J5-4244</t>
  </si>
  <si>
    <t>Webform</t>
  </si>
  <si>
    <t>P3 Moyenne</t>
  </si>
  <si>
    <t>J5-3909</t>
  </si>
  <si>
    <t>Eureka</t>
  </si>
  <si>
    <t>Contractualisation Post-Plei@de (PICO)</t>
  </si>
  <si>
    <t>CPP-691</t>
  </si>
  <si>
    <t>mapping pilotage des taux de signature élec</t>
  </si>
  <si>
    <t>Alban CHOUVET</t>
  </si>
  <si>
    <t>CPP-676</t>
  </si>
  <si>
    <t>picoïsation des offres ex-H</t>
  </si>
  <si>
    <t>CPP-675</t>
  </si>
  <si>
    <t>Modélisation du flux V3 en PREV et SANTE</t>
  </si>
  <si>
    <t>CPP-674</t>
  </si>
  <si>
    <t>Modification des prises en comptes de garanties sur le flux V1 : AAA et GDN</t>
  </si>
  <si>
    <t>Tickets liés.linkType</t>
  </si>
  <si>
    <t>est liée à</t>
  </si>
  <si>
    <t>clone</t>
  </si>
  <si>
    <t>lie</t>
  </si>
  <si>
    <t>bloque</t>
  </si>
  <si>
    <t>Story</t>
  </si>
  <si>
    <t>SLG-2244</t>
  </si>
  <si>
    <t>[SELLIGENT] - [DDT 2026] - Brique d'Archivage - ISICOM (Radiance)</t>
  </si>
  <si>
    <t>En construction</t>
  </si>
  <si>
    <t>SLG-2242</t>
  </si>
  <si>
    <t>[SELLIGENT] - [RECO LFM] : Création de l'action "Appel Sortant"</t>
  </si>
  <si>
    <t>SLG-2241</t>
  </si>
  <si>
    <t>[SELLIGENT] - [RECO LFM] : Recherche de la personne</t>
  </si>
  <si>
    <t>SLG-2239</t>
  </si>
  <si>
    <t>[SELLIGENT] - [BMC] : Leads Comparateurs</t>
  </si>
  <si>
    <t>SLG-2238</t>
  </si>
  <si>
    <t>[SELLIGENT] - [BMC] : Formulaires MH.com</t>
  </si>
  <si>
    <t>SLG-2237</t>
  </si>
  <si>
    <t>[SELLIGENT] - [DDT 2026] -Traitement des clôtures des appels avec délai dépassé</t>
  </si>
  <si>
    <t>SLG-2236</t>
  </si>
  <si>
    <t>[SELLIGENT] - [DDT 2026] -Traitement des RDV CALIZY (Radiance)</t>
  </si>
  <si>
    <t>SLG-2235</t>
  </si>
  <si>
    <t>[SELLIGENT] - [DDT 2026] - Traitement des actions provenant d'ALTO (LogDiffusion)</t>
  </si>
  <si>
    <t>SLG-2234</t>
  </si>
  <si>
    <t>[SELLIGENT] - [DDT 2026] - Traitements des RECO/SYNERGIE PULSE</t>
  </si>
  <si>
    <t>SLG-2233</t>
  </si>
  <si>
    <t>[SELLIGENT] - [DDT 2026] - Traitements des consentements des leads SELFCARE (STEP/KAYROS/FASST)</t>
  </si>
  <si>
    <t>SLG-2232</t>
  </si>
  <si>
    <t>[SELLIGENT] - [DDT 2026] - Traitement des Leads Comparateurs</t>
  </si>
  <si>
    <t>SLG-2231</t>
  </si>
  <si>
    <t>SLG-2230</t>
  </si>
  <si>
    <t>[SELLIGENT] - [DDT 2026] - Brique d'Archivage - PureCloud (MH)</t>
  </si>
  <si>
    <t>SLG-2229</t>
  </si>
  <si>
    <t>[SELLIGENT] - [DDT2026] - Export vers ALTO</t>
  </si>
  <si>
    <t>En revue de code</t>
  </si>
  <si>
    <t>SLG-2200</t>
  </si>
  <si>
    <t>Ouvert</t>
  </si>
  <si>
    <t>SLG-2199</t>
  </si>
  <si>
    <t>[NEW RCU] : Mise en place du transfert de fichiers (Secure Transport)</t>
  </si>
  <si>
    <t>SLG-2198</t>
  </si>
  <si>
    <t>[NEW RCU] : Nouvelle extraction de SELLIGENT pour RCU</t>
  </si>
  <si>
    <t>SLG-2132</t>
  </si>
  <si>
    <t>[SELLIGENT] : [MH.COM] : Optimisation des performances SEA</t>
  </si>
  <si>
    <t>Bloquée</t>
  </si>
  <si>
    <t>RBOP-6909</t>
  </si>
  <si>
    <t>[MIDDLE] Proposer un correctif pour la CVE Axios</t>
  </si>
  <si>
    <t>Yvann HUBERT</t>
  </si>
  <si>
    <t>En attente de livraison</t>
  </si>
  <si>
    <t>RBOP-6792</t>
  </si>
  <si>
    <t>[PARCOURS] : Ajouter des données dans le flux parcours vers FASST</t>
  </si>
  <si>
    <t>RBOP-6791</t>
  </si>
  <si>
    <t>[PROJETS] : Ajouter des données dans l'export des projets</t>
  </si>
  <si>
    <t>RBOP-6781</t>
  </si>
  <si>
    <t>[PROJET SELFCARE] EPA SAL: Afficher automatiquement l'origine d'un projet à Selfcare lorsqu'un parcours Selfcare existe + rendre paramétrable le délais de recherche de parcours</t>
  </si>
  <si>
    <t>Fermée</t>
  </si>
  <si>
    <t>RBOP-6777</t>
  </si>
  <si>
    <t>[IC] Création d'un hook husky pour sécuriser nos déploiements</t>
  </si>
  <si>
    <t>Nicolas LOYEZ</t>
  </si>
  <si>
    <t>RBOP-6776</t>
  </si>
  <si>
    <t>[SELFCARE] - Exposer l’ID SEO/SEA dans l’export des parcours pour l’équipe Analytics</t>
  </si>
  <si>
    <t>RBOP-6772</t>
  </si>
  <si>
    <t>[OBSO] Vérification des overrides dans le package.json</t>
  </si>
  <si>
    <t>Jeanne GRANDGEORGE</t>
  </si>
  <si>
    <t>RBOP-6771</t>
  </si>
  <si>
    <t>[OBSO] Suppression de Jquery</t>
  </si>
  <si>
    <t>Arnaud DERAIN</t>
  </si>
  <si>
    <t>RBOP-6769</t>
  </si>
  <si>
    <t>[PROJETS] Modifier le comportement du composant Search-Input</t>
  </si>
  <si>
    <t>RBOP-6767</t>
  </si>
  <si>
    <t>[PROJETSELFCARE] - Mise en place d’une règle pour l’identification du parcours lors du double appel de la même API dans le parcours Epargne Salariale</t>
  </si>
  <si>
    <t>RBOP-6765</t>
  </si>
  <si>
    <t>[Vision Fine] Rendre paramétrable le lien vers le "e-portail" sur la vision fine</t>
  </si>
  <si>
    <t>RBOP-6757</t>
  </si>
  <si>
    <t>[OWEN] : Mettre à jour le nom dans le module</t>
  </si>
  <si>
    <t>RBOP-6754</t>
  </si>
  <si>
    <t>[PROJETS] : Proposer de compléter l'onglet concurrent lors de la signature du projet</t>
  </si>
  <si>
    <t>En affinage</t>
  </si>
  <si>
    <t>RBOP-6750</t>
  </si>
  <si>
    <t>[GENERAL] : Créer un batch de mise à jour des affectations ACC</t>
  </si>
  <si>
    <t>RBOP-6749</t>
  </si>
  <si>
    <t>[PROJETS] : Adresser des nouvelles données à la BMC</t>
  </si>
  <si>
    <t>Prêt pour recette</t>
  </si>
  <si>
    <t>RBOP-6747</t>
  </si>
  <si>
    <t>[Vision Fine] réviser la règle pour afficher les coches EPARGNE</t>
  </si>
  <si>
    <t>RBOP-6741</t>
  </si>
  <si>
    <t>[GENERAL] : Ne pas afficher de message d'erreur lorsqu'il n'y a pas de bénéficiaire effectif</t>
  </si>
  <si>
    <t>RBOP-6739</t>
  </si>
  <si>
    <t>[Vision Fine] réviser la règle pour afficher les coches SANTE, PREVOYANCE et RETRAITE</t>
  </si>
  <si>
    <t>RBOP-6738</t>
  </si>
  <si>
    <t>[GENERAL] : Modifier le traitement ACC 2026</t>
  </si>
  <si>
    <t>Jamila HALIM</t>
  </si>
  <si>
    <t>RBOP-6733</t>
  </si>
  <si>
    <t>[PROJETS] : Récupérer de nouvelles données issues du parcours</t>
  </si>
  <si>
    <t>RBOP-6731</t>
  </si>
  <si>
    <t>[PROJETS] : Différencier les types de ventes Epargne salariale et Epargne Temps</t>
  </si>
  <si>
    <t>RBOP-6725</t>
  </si>
  <si>
    <t>[PROJETS] : Retirer la règle sur les effectifs maximum des projets</t>
  </si>
  <si>
    <t>RBOP-6724</t>
  </si>
  <si>
    <t>[GROUPES] : Ajouter des données dans l'export des groupes</t>
  </si>
  <si>
    <t>Michael CHAMPALET</t>
  </si>
  <si>
    <t>RBOP-6723</t>
  </si>
  <si>
    <t>[GROUPES] : Donner la vision de l'entièreté des groupes aux spécialistes épargne</t>
  </si>
  <si>
    <t>Cherifa DIAFI</t>
  </si>
  <si>
    <t>RBOP-6722</t>
  </si>
  <si>
    <t xml:space="preserve">[PARCOURS SELFCARE] : Affichage des données parcours Selfcare dans la vision fine </t>
  </si>
  <si>
    <t>RBOP-6721</t>
  </si>
  <si>
    <t>[PROJET SELFCARE] ES+ : Afficher automatiquement l'origine d'un projet à Selfcare lorsqu'un  parcours Selfcare existe + rendre paramétrable le délais de recherche de parcours</t>
  </si>
  <si>
    <t>RBOP-6720</t>
  </si>
  <si>
    <t xml:space="preserve">[PARCOURS SELFCARE] : Rendre le lien du parcours non cliquable </t>
  </si>
  <si>
    <t>RBOP-6718</t>
  </si>
  <si>
    <t>[PRESCRIPTEURS] : Modifier le traitement de purge des données de plus de 3 ans</t>
  </si>
  <si>
    <t>En recette</t>
  </si>
  <si>
    <t>RBOP-6713</t>
  </si>
  <si>
    <t>[PROJETS] : Finalisation des développements des projets dupliqués</t>
  </si>
  <si>
    <t>RBOP-6684</t>
  </si>
  <si>
    <t>[INDUSTRIALISATION CCN ] : Mise à jour du contrat d’interface flux Evènement Projet car manque un élément</t>
  </si>
  <si>
    <t>RBOP-6752</t>
  </si>
  <si>
    <t>RBOP-6648</t>
  </si>
  <si>
    <t>Batch "MAJ Equipement Entrepot" - déclenchement avec un seul fichier en entrée</t>
  </si>
  <si>
    <t>RBOP-6600</t>
  </si>
  <si>
    <t>[Selfcare AFFECTATION PROJET] : Affecter par défaut les projets Selfcare à la VAD COLL NAT</t>
  </si>
  <si>
    <t>RBOP-6582</t>
  </si>
  <si>
    <t>Passer le Middle en Node 22</t>
  </si>
  <si>
    <t>RBOP-6559</t>
  </si>
  <si>
    <t>[GROUPES] : Bloquer la création de groupe pour la région épargne GC</t>
  </si>
  <si>
    <t>RBOP-6527</t>
  </si>
  <si>
    <t>[INDUSTRIALISATION CCN ] : Création des projets CCN Santé dans Pulse</t>
  </si>
  <si>
    <t>RBOP-6301</t>
  </si>
  <si>
    <t>[SELFCARE CREATION PROJET] : Afficher automatiquement l'origine et le lien parcours Selfcare dans le projet</t>
  </si>
  <si>
    <t>RBOP-6541</t>
  </si>
  <si>
    <t>est bloquée par</t>
  </si>
  <si>
    <t>RBOP-6289</t>
  </si>
  <si>
    <t xml:space="preserve">[Selfcare Parcours] Vision fine : Création d'un nouveau code source et modification des règles de références </t>
  </si>
  <si>
    <t>RBOP-6288</t>
  </si>
  <si>
    <t xml:space="preserve">[SELFCARE EPA Salariale] Projet : amorcer le projet </t>
  </si>
  <si>
    <t>RBOP-6272</t>
  </si>
  <si>
    <t>[SELFCARE EPA SALARIALE CREATION PROJET] : Afficher la liste des projets incomplets sur le dashboard</t>
  </si>
  <si>
    <t>RBOP-6256</t>
  </si>
  <si>
    <t>[INDUSTRIALISATION CCN ] Création Projet CCN Prévoyance suite parcours FASST</t>
  </si>
  <si>
    <t>RBOP-6255</t>
  </si>
  <si>
    <t>[INDUSTRIALISATION CCN ] : Modifier le nom du parcours pour distinguer le standard de la CCN</t>
  </si>
  <si>
    <t>Ancien utilisateur</t>
  </si>
  <si>
    <t>RBOP-6252</t>
  </si>
  <si>
    <t>RBOP-6253</t>
  </si>
  <si>
    <t>[INDUSTRIALISATION CCN ] : Mise à jour du contrat d’interface flux Evènement Projet</t>
  </si>
  <si>
    <t>Reda RACHDI</t>
  </si>
  <si>
    <t>RBOP-6116</t>
  </si>
  <si>
    <t>[INDUSTRIALISATION CCN ] : Analyse des impacts sur l'évolution des contrats d'interface</t>
  </si>
  <si>
    <t>RBOP-4770</t>
  </si>
  <si>
    <t>Import créateur des entreprises internationales</t>
  </si>
  <si>
    <t>PVP-3043</t>
  </si>
  <si>
    <t>[Identité] Mettre à jour le wording de la bannière d'information</t>
  </si>
  <si>
    <t>PVP-3045</t>
  </si>
  <si>
    <t>is implemented by</t>
  </si>
  <si>
    <t>PVP-2866</t>
  </si>
  <si>
    <t>[Feature Flipping] Permettre de modifier les informations des remises depuis le feature flipping</t>
  </si>
  <si>
    <t>PVP-2853</t>
  </si>
  <si>
    <t>[Selfcare/OAV] Afficher le numéro de version de l'appli en front</t>
  </si>
  <si>
    <t>PVP-2778</t>
  </si>
  <si>
    <t>[Selfcare][Web/Mobile] Rendre le bouton "Faire un autre devis plus visible"</t>
  </si>
  <si>
    <t>created by</t>
  </si>
  <si>
    <t>PVP-2715</t>
  </si>
  <si>
    <t>[RIB] Enlever la valeur par défault dans le payload Joachim</t>
  </si>
  <si>
    <t>PVP-2623</t>
  </si>
  <si>
    <t>est causée par</t>
  </si>
  <si>
    <t>PVP-2714</t>
  </si>
  <si>
    <t>[RIB] Adapter le CTA et les messages d'informations en fonction du résultat (OK ou KO)</t>
  </si>
  <si>
    <t>PVP-2713</t>
  </si>
  <si>
    <t>[RIB] Ajouter spinner en FRONT lors de l'appel API</t>
  </si>
  <si>
    <t>PVP-2712</t>
  </si>
  <si>
    <t>[RIB] Vérifier la conformité des pièces sur la base des données reçues par l'API</t>
  </si>
  <si>
    <t>PVP-2619</t>
  </si>
  <si>
    <t>[Identité + RIB] Adapter le CTA et les messages d'informations en fonction du résultat (OK ou KO)</t>
  </si>
  <si>
    <t>PVP-2616</t>
  </si>
  <si>
    <t>PVP-2617</t>
  </si>
  <si>
    <t>[Identité+RIB] Ajouter spinner en FRONT lors de l'appel API</t>
  </si>
  <si>
    <t>Christophe NIESNER</t>
  </si>
  <si>
    <t>[Identité] Vérifier la conformité des pièces sur la base des données reçues par l'API</t>
  </si>
  <si>
    <t>PVP-2613</t>
  </si>
  <si>
    <t>[Identité + RIB] Appeler l'API et gérer le cas où elle est indisponible (flux aller/ retour)</t>
  </si>
  <si>
    <t>Mehrez HRIZI</t>
  </si>
  <si>
    <t>PVP-2611</t>
  </si>
  <si>
    <t>🎯 [Identité] Mettre à jour le wording de la bannière d'information</t>
  </si>
  <si>
    <t>PVP-2590</t>
  </si>
  <si>
    <t>[Selfcare][Mobile] Rendre la page "Vérifiez vos informations avant l'envoi" et la modale vente couplée responsive</t>
  </si>
  <si>
    <t>PVP-2544</t>
  </si>
  <si>
    <t>PVP-2586</t>
  </si>
  <si>
    <t>[Selfcare][Mobile] Afficher les titres des offres et CTAs de manière persistente sur la page offres ou les afficher aussi en bas de page</t>
  </si>
  <si>
    <t>DESIGN-1792</t>
  </si>
  <si>
    <t>PVP-2585</t>
  </si>
  <si>
    <t>[Selfcare][Mobile] Revoir le fonctionnement du scroller horizontal sur la page offres</t>
  </si>
  <si>
    <t>PVP-2470</t>
  </si>
  <si>
    <t>[Selfcare] Modale vente couplée  - Evolution wording</t>
  </si>
  <si>
    <t>PVP-2469</t>
  </si>
  <si>
    <t>[Selfcare] Modale contact WCB - Evolution wording</t>
  </si>
  <si>
    <t>PVP-2468</t>
  </si>
  <si>
    <t>[STEP] Evol DDT - Volet travaux modale : évolutions du champ email (à confirmer)</t>
  </si>
  <si>
    <t>PVP-2467</t>
  </si>
  <si>
    <t>[Selfcare] Modale optin - Evolution champs coordonnées</t>
  </si>
  <si>
    <t>PVP-2315</t>
  </si>
  <si>
    <t>[STEP] Evol DDT - Volet AB test : Intégration du script AB tasty dans STEP</t>
  </si>
  <si>
    <t>NXT-8546</t>
  </si>
  <si>
    <t>[Refonte des SE P@] Backend Play - pld/gestion/contratsCollectifs/v3/adherents/detail</t>
  </si>
  <si>
    <t>Babacar SYLLA</t>
  </si>
  <si>
    <t>NXT-8515</t>
  </si>
  <si>
    <t>Préparation package MEP 28 avril 2026</t>
  </si>
  <si>
    <t>Japhet NAMDEGONE</t>
  </si>
  <si>
    <t>NXT-8464</t>
  </si>
  <si>
    <t>NXT-8511</t>
  </si>
  <si>
    <t>OC BossEgérie à préparer</t>
  </si>
  <si>
    <t>NXT-8540</t>
  </si>
  <si>
    <t>NXT-8506</t>
  </si>
  <si>
    <t>Passer en périmés les projets Qualiopée Prévoyance Pro initiés avant le 30  juin</t>
  </si>
  <si>
    <t>NXT-8497</t>
  </si>
  <si>
    <t>[Vision agrégée RT] [10b] Filtres RT de la liste des contrats - BACK</t>
  </si>
  <si>
    <t>NXT-7944</t>
  </si>
  <si>
    <t>NXT-8465</t>
  </si>
  <si>
    <t>Contrats - envoi des documents</t>
  </si>
  <si>
    <t>Adrien COLLIGNON</t>
  </si>
  <si>
    <t>NXT-8459</t>
  </si>
  <si>
    <t>[AGE/LFM] "Répartition des fonds" sur l'écran Détail Contrat - US Front et Portefeuille</t>
  </si>
  <si>
    <t>Vincent ROBINNE</t>
  </si>
  <si>
    <t>NXT-8444</t>
  </si>
  <si>
    <t>Liste des projets : adaptation actions</t>
  </si>
  <si>
    <t>Deborah FACHE</t>
  </si>
  <si>
    <t>NXT-8026</t>
  </si>
  <si>
    <t>NXT-8435</t>
  </si>
  <si>
    <t>HP - Message d'erreur - 1024 px</t>
  </si>
  <si>
    <t>NXT-8406</t>
  </si>
  <si>
    <t>[Doss_Recou] Accèder au dossier de recouvrement depuis le Menu</t>
  </si>
  <si>
    <t>Vincent PALAZZOLO</t>
  </si>
  <si>
    <t>NXT-8401</t>
  </si>
  <si>
    <t>[Doss_Recou] Rechercher un dossier de recouvrement</t>
  </si>
  <si>
    <t>NXT-8441</t>
  </si>
  <si>
    <t>NXT-8400</t>
  </si>
  <si>
    <t>02-[Doss_Recou] Visualiser la liste des dossiers de recouvrement</t>
  </si>
  <si>
    <t>NXT-8398</t>
  </si>
  <si>
    <t>[AGE/LFM] Alimentation de la table "Répartition des fonds" via le Batch d'import LFM</t>
  </si>
  <si>
    <t>NXT-8397</t>
  </si>
  <si>
    <t>[AGE / LFM] Création table "Répartition des fonds"</t>
  </si>
  <si>
    <t>NXT-8394</t>
  </si>
  <si>
    <t>tracking - portefeuille (projets, contrats, clients)</t>
  </si>
  <si>
    <t>NXT-8371</t>
  </si>
  <si>
    <t>tracking - produits - hub et page produits</t>
  </si>
  <si>
    <t>NXT-8342</t>
  </si>
  <si>
    <t>Profil testeur - ADFS</t>
  </si>
  <si>
    <t>NXT-8316</t>
  </si>
  <si>
    <t>Contrats - tableau de bord</t>
  </si>
  <si>
    <t>NXT-8303</t>
  </si>
  <si>
    <t>[Vision agrégée RT] [3b] Batch 230 - job RT , step de chargement du fichier des résiliations</t>
  </si>
  <si>
    <t>NXT-8302</t>
  </si>
  <si>
    <t>NXT-8301</t>
  </si>
  <si>
    <t>NXT-8300</t>
  </si>
  <si>
    <t>(NEW RCU] 4 - Configuration des nouveaux services - nxt-yq-parent 2/2</t>
  </si>
  <si>
    <t>NXT-8299</t>
  </si>
  <si>
    <t>is tested by</t>
  </si>
  <si>
    <t>NXT-8298</t>
  </si>
  <si>
    <t>NXT-8296</t>
  </si>
  <si>
    <t>[NEW RCU] 6 - Création de compte Courtier : compte CIAM et compte internaute</t>
  </si>
  <si>
    <t>NXT-8295</t>
  </si>
  <si>
    <t>NXT-8293</t>
  </si>
  <si>
    <t>NXT-8258</t>
  </si>
  <si>
    <t>Nouvelles offres BET : débranchement</t>
  </si>
  <si>
    <t>NXT-8257</t>
  </si>
  <si>
    <t>Nouvelles offres BET : paramétrage en base</t>
  </si>
  <si>
    <t>NXT-8251</t>
  </si>
  <si>
    <t>[Vision agrégée RT] Export des lettres avenants en masse (suite)</t>
  </si>
  <si>
    <t>NXT-8220</t>
  </si>
  <si>
    <t>[Purges RGPD] Vérifier la suppression des PP</t>
  </si>
  <si>
    <t>NXT-8212</t>
  </si>
  <si>
    <t>[Vision agrégée RT] [7] Téléchargement de la lettre avenant dans détail contrat</t>
  </si>
  <si>
    <t>NXT-8082</t>
  </si>
  <si>
    <t>[Vision agrégée RT][9] Tracking filtres et téléchargement lettre avenant</t>
  </si>
  <si>
    <t>NXT-8055</t>
  </si>
  <si>
    <t>Contrats - téléchargement du BIA</t>
  </si>
  <si>
    <t>NXT-6565</t>
  </si>
  <si>
    <t>Initiation</t>
  </si>
  <si>
    <t>NXT-8052</t>
  </si>
  <si>
    <t>Contrats - contacts de gestion</t>
  </si>
  <si>
    <t>Aniss ABDELLI</t>
  </si>
  <si>
    <t>NXT-8006</t>
  </si>
  <si>
    <t>[Vision agrégée RT] [5] Détail contrat - Front et API Détail Contrat</t>
  </si>
  <si>
    <t>NXT-8004</t>
  </si>
  <si>
    <t xml:space="preserve">[Vision agrégée RT] [6] Export excel liste des contrats à aménager </t>
  </si>
  <si>
    <t>NXT-7946</t>
  </si>
  <si>
    <t>Produits - page produits</t>
  </si>
  <si>
    <t>[Vision agrégée RT] [10a] Filtres RT de la liste des contrats - FRONT</t>
  </si>
  <si>
    <t>NXT-7943</t>
  </si>
  <si>
    <t>[Vision agrégée RT][8] Export des lettres avenants en masse</t>
  </si>
  <si>
    <t>NXT-7940</t>
  </si>
  <si>
    <t>[Vision agrégée RT]  Création nouvelle page sur la vision agrégée RT</t>
  </si>
  <si>
    <t>NXT-7939</t>
  </si>
  <si>
    <t>[Vision agrégée RT] [4] Liste des contrats - Front et API Contrats</t>
  </si>
  <si>
    <t>NXT-7937</t>
  </si>
  <si>
    <t>[Vision agrégée RT] [3a] Batch 230 - job RT de chargement du fichier issu de la data</t>
  </si>
  <si>
    <t>NXT-7931</t>
  </si>
  <si>
    <t>Clients - tableau de bord</t>
  </si>
  <si>
    <t>NXT-7930</t>
  </si>
  <si>
    <t>Liste des utilisateurs - suppression d'un utilisateur</t>
  </si>
  <si>
    <t>NXT-7911</t>
  </si>
  <si>
    <t>Liste des utilisateurs - création d'un utilisateur</t>
  </si>
  <si>
    <t>NXT-7910</t>
  </si>
  <si>
    <t>Liste des utilisateurs - visualisation profil utilisateur</t>
  </si>
  <si>
    <t>NXT-7642</t>
  </si>
  <si>
    <t>NXT-7849</t>
  </si>
  <si>
    <t>CIAM : retours recette du tracking</t>
  </si>
  <si>
    <t>Jerome PONT SENAC</t>
  </si>
  <si>
    <t>NXT-7311</t>
  </si>
  <si>
    <t>NXT-7836</t>
  </si>
  <si>
    <t xml:space="preserve"> [Parcours TNS]: modification de la mire de choix du TNS</t>
  </si>
  <si>
    <t>NXT-7785</t>
  </si>
  <si>
    <t>[SSO Lifesquare] - Tracking de débranchement SSO vers la homepage Lifesquare</t>
  </si>
  <si>
    <t>NXT-7643</t>
  </si>
  <si>
    <t>Clients - synthèse</t>
  </si>
  <si>
    <t>NXT-8289</t>
  </si>
  <si>
    <t>Liste des utilisateurs - restitution des utilisateurs</t>
  </si>
  <si>
    <t>NXT-7640</t>
  </si>
  <si>
    <t>Contrats - restitution des documents</t>
  </si>
  <si>
    <t>NXT-7645</t>
  </si>
  <si>
    <t>NXT-7560</t>
  </si>
  <si>
    <t>Clients - Liste clients</t>
  </si>
  <si>
    <t>MHouv Socle</t>
  </si>
  <si>
    <t>MHS-62</t>
  </si>
  <si>
    <t>PIP24 - Comparateur - poursuite parcours dans l'OAV STEP Selfcare</t>
  </si>
  <si>
    <t>Emma ROUANET</t>
  </si>
  <si>
    <t>J5-5087</t>
  </si>
  <si>
    <t>Supprimer url technique du robot txt</t>
  </si>
  <si>
    <t>Jonathan VAUTIER</t>
  </si>
  <si>
    <t>J5-5074</t>
  </si>
  <si>
    <t>déclencher showprivacy depuis le code js du projet</t>
  </si>
  <si>
    <t>Pauline DE VALLOIS</t>
  </si>
  <si>
    <t>J5-4755</t>
  </si>
  <si>
    <t>J5-5050</t>
  </si>
  <si>
    <t>Evolution champ sameAs lot2</t>
  </si>
  <si>
    <t>J5-5042</t>
  </si>
  <si>
    <t>Evol style bandeau sticky</t>
  </si>
  <si>
    <t>J5-5032</t>
  </si>
  <si>
    <t>Modif du lien "nous écrire" dans la page /courtage/nous-trouver</t>
  </si>
  <si>
    <t>J5-5099</t>
  </si>
  <si>
    <t>J5-5031</t>
  </si>
  <si>
    <t>Suivre l'optimisation SEO des contents</t>
  </si>
  <si>
    <t>J5-5023</t>
  </si>
  <si>
    <t>Devis Internationaux B2C | Intégration de l'Information "Lead" via Cookie</t>
  </si>
  <si>
    <t>Maiwenn BIZOUARN</t>
  </si>
  <si>
    <t>J5-5055</t>
  </si>
  <si>
    <t>J5-5001</t>
  </si>
  <si>
    <t>créer un pg générique avis vérifiés</t>
  </si>
  <si>
    <t>Elise BORIE</t>
  </si>
  <si>
    <t>J5-5000</t>
  </si>
  <si>
    <t>J5-4996</t>
  </si>
  <si>
    <t>Acces aux files pour les webmasters expert</t>
  </si>
  <si>
    <t>J5-4981</t>
  </si>
  <si>
    <t>Evol. tdb webmaster</t>
  </si>
  <si>
    <t>J5-4980</t>
  </si>
  <si>
    <t>Evol. tdb metier</t>
  </si>
  <si>
    <t>J5-4631</t>
  </si>
  <si>
    <t>J5-4966</t>
  </si>
  <si>
    <t>Disposition footer mobile</t>
  </si>
  <si>
    <t>J5-4963</t>
  </si>
  <si>
    <t>Ajouter pg actu dans bibliothèque contenu</t>
  </si>
  <si>
    <t>J5-5065</t>
  </si>
  <si>
    <t>J5-4962</t>
  </si>
  <si>
    <t>Intégration des transitions vers role SEO dans le workflow</t>
  </si>
  <si>
    <t>J5-4961</t>
  </si>
  <si>
    <t>Ajouter un filtre "SEOptimisé" dans la vue content</t>
  </si>
  <si>
    <t>J5-4960</t>
  </si>
  <si>
    <t>Création du tdb Responsable edito</t>
  </si>
  <si>
    <t>J5-4909</t>
  </si>
  <si>
    <t>Modifié vue "Média" View</t>
  </si>
  <si>
    <t>Rudy LAFARGUE</t>
  </si>
  <si>
    <t>J5-5067</t>
  </si>
  <si>
    <t>J5-4900</t>
  </si>
  <si>
    <t>Simplification contribution d'un terme taxo thématique</t>
  </si>
  <si>
    <t>J5-4640</t>
  </si>
  <si>
    <t>J5-4899</t>
  </si>
  <si>
    <t>dossier thématique / sommaire</t>
  </si>
  <si>
    <t>J5-4898</t>
  </si>
  <si>
    <t>dossier thématique / méta données</t>
  </si>
  <si>
    <t>J5-4896</t>
  </si>
  <si>
    <t>dossier thématique / rattachement auto des articles s'informer</t>
  </si>
  <si>
    <t>J5-4882</t>
  </si>
  <si>
    <t>Lien KO dans la tranche "Le saviez-vous"</t>
  </si>
  <si>
    <t>J5-4879</t>
  </si>
  <si>
    <t>modif CTA dans la tranche "solutions" dans sidebar</t>
  </si>
  <si>
    <t>J5-4878</t>
  </si>
  <si>
    <t>Correction CSS tranche "Cards" pour les CTA</t>
  </si>
  <si>
    <t>J5-4876</t>
  </si>
  <si>
    <t xml:space="preserve">Raccordement API Avis vérifiés « ratingValue » « reviewCount » « review » </t>
  </si>
  <si>
    <t>J5-4868</t>
  </si>
  <si>
    <t>Evolution champ foundingDate</t>
  </si>
  <si>
    <t>J5-4858</t>
  </si>
  <si>
    <t>modif CSS tranche "Le saviez-vous"</t>
  </si>
  <si>
    <t>J5-4848</t>
  </si>
  <si>
    <t>Ajout auto d'un bouton dans un CT Page - slider mini cards</t>
  </si>
  <si>
    <t>J5-4847</t>
  </si>
  <si>
    <t>Ajout auto d'un bouton dans un CT Page - slider card avec texte et image</t>
  </si>
  <si>
    <t>J5-4846</t>
  </si>
  <si>
    <t>Ajout auto d'un bouton dans un CT Page - slider card</t>
  </si>
  <si>
    <t>J5-4845</t>
  </si>
  <si>
    <t>Ajout auto d'un bouton dans un CT Page - slider big card</t>
  </si>
  <si>
    <t>J5-4843</t>
  </si>
  <si>
    <t>Ajout auto d'un bouton dans un CT Page - Image et WYSIWIG slider card</t>
  </si>
  <si>
    <t>J5-4842</t>
  </si>
  <si>
    <t>Ajout auto d'un bouton dans un CT Page - PG FAQ Container</t>
  </si>
  <si>
    <t>J5-4841</t>
  </si>
  <si>
    <t xml:space="preserve">Ajout auto d'un bouton dans un CT Page - PG FAQ SEO GROUPE </t>
  </si>
  <si>
    <t>J5-4840</t>
  </si>
  <si>
    <t>Ajout auto d'un bouton dans un CT Page - PG Corpo Container</t>
  </si>
  <si>
    <t>J5-4839</t>
  </si>
  <si>
    <t>Ajout auto d'un bouton dans un CT Page - PG Chiffres clés</t>
  </si>
  <si>
    <t>J5-4838</t>
  </si>
  <si>
    <t>Ajout auto d'un bouton dans un CT Page - PG Bouton</t>
  </si>
  <si>
    <t>J5-4819</t>
  </si>
  <si>
    <t>Ajout auto d'un bouton dans un CT Offre V3</t>
  </si>
  <si>
    <t>J5-4818</t>
  </si>
  <si>
    <t>Ajout auto d'un bouton dans un CT Page - PG Card offer V2</t>
  </si>
  <si>
    <t>J5-4790</t>
  </si>
  <si>
    <t>Ajout auto d'un bouton dans un CT Page - PG Cards horizontal container</t>
  </si>
  <si>
    <t>J5-4787</t>
  </si>
  <si>
    <t>Ajout auto d'un bouton dans un CT Page - PG Cards</t>
  </si>
  <si>
    <t>J5-4786</t>
  </si>
  <si>
    <t>Ajout auto d'un bouton dans un CT Page - Card Offer V3</t>
  </si>
  <si>
    <t>J5-4753</t>
  </si>
  <si>
    <t>[ASAP 30/03] désactiver bandeau PSP bis</t>
  </si>
  <si>
    <t>Parveen SABAH</t>
  </si>
  <si>
    <t>J5-4746</t>
  </si>
  <si>
    <t>Ré ouvrir droits format de texte aux WMe en env prod</t>
  </si>
  <si>
    <t>J5-4743</t>
  </si>
  <si>
    <t xml:space="preserve">API BMC connecteur webform "Envoyer un message - B2C" </t>
  </si>
  <si>
    <t>J5-4744</t>
  </si>
  <si>
    <t>J5-4690</t>
  </si>
  <si>
    <t>Création d'un content type page CCN</t>
  </si>
  <si>
    <t>Création d'un nouveau content type "dossier thématique"</t>
  </si>
  <si>
    <t>J5-4633</t>
  </si>
  <si>
    <t>[page edito] Création « Box liens produit »</t>
  </si>
  <si>
    <t>J5-4629</t>
  </si>
  <si>
    <t>[pg switch] PG Testimonial contribué dans un PG Switch - Affichage incorrect</t>
  </si>
  <si>
    <t>J5-4625</t>
  </si>
  <si>
    <t>[pg switch] PG Image &amp; card contribué dans un PG Switch - Affichage incorrect</t>
  </si>
  <si>
    <t>J5-3879</t>
  </si>
  <si>
    <t>J5-4624</t>
  </si>
  <si>
    <t>[pg switch] PG Espace client contribué dans un PG Switch - Affichage incorrect</t>
  </si>
  <si>
    <t>J5-4620</t>
  </si>
  <si>
    <t>Optim stack front / element_scrollMagic.js / Espace Client V2 Tabulation</t>
  </si>
  <si>
    <t>J5-4619</t>
  </si>
  <si>
    <t>Optim stack front / element_scrollMagic.js / Faq SEO (lignes 578 à 598)</t>
  </si>
  <si>
    <t>J5-4618</t>
  </si>
  <si>
    <t>Optim stack front / element_scrollMagic.js / Animation home (lignes 516 à 576)</t>
  </si>
  <si>
    <t>J5-4617</t>
  </si>
  <si>
    <t>Optim stack front / element_scrollMagic.js/ Pg espace-client-v2 (lignes 504 à 512)</t>
  </si>
  <si>
    <t>J5-4616</t>
  </si>
  <si>
    <t>Optim stack front / element_scrollMagic.js/Fonctionnalités v2 init slider</t>
  </si>
  <si>
    <t>J5-4615</t>
  </si>
  <si>
    <t>Optim stack front / element_scroll/ Fonctionnalités v2 init slider (lignes 488 à 502)</t>
  </si>
  <si>
    <t>J5-4614</t>
  </si>
  <si>
    <t>APIM : Implémentation des connexion sécurisées à l'API Gateway</t>
  </si>
  <si>
    <t>J5-4610</t>
  </si>
  <si>
    <t>Optim stack front / element+scrollMagic.js / Pg key numbers init slider (lignes 449 à 459)</t>
  </si>
  <si>
    <t>J5-4609</t>
  </si>
  <si>
    <t>Optim stack front / element+scrollMagic.js / Pg slider mini cards init slider (lignes 437 à 448)</t>
  </si>
  <si>
    <t>J5-4608</t>
  </si>
  <si>
    <t>Optim stack front / element+scrollMagic.js / Pg cards horizontal init slider (lignes 424 à 435)</t>
  </si>
  <si>
    <t>J5-4607</t>
  </si>
  <si>
    <t>J5-4606</t>
  </si>
  <si>
    <t>Optim stack front / element+scrollMagic.js / Pg slider wysiwyg cards init slider (lignes 413 à 423)</t>
  </si>
  <si>
    <t>J5-4605</t>
  </si>
  <si>
    <t>Optim stack front / element+scrollMagic.js /Pg key number init slider</t>
  </si>
  <si>
    <t>J5-4604</t>
  </si>
  <si>
    <t>Optim stack front / element+scrollMagic.js / Pg mini init slider (lignes 396 à 404)</t>
  </si>
  <si>
    <t>J5-4603</t>
  </si>
  <si>
    <t>Optim stack front / element+scrollMagic.js / Pg top 3 init slider (lignes 387 à 395)</t>
  </si>
  <si>
    <t>J5-4602</t>
  </si>
  <si>
    <t>Optim stack front / element+scrollMagic.js / Pg etiquettes init slider</t>
  </si>
  <si>
    <t>J5-4601</t>
  </si>
  <si>
    <t>Optim stack front / element+scrollMagic.js / Pg Add testimonial init slider (lignes 367 à 376)</t>
  </si>
  <si>
    <t>J5-4600</t>
  </si>
  <si>
    <t>Optim stack front / element+scrollMagic.js / Pg temoignage init slider</t>
  </si>
  <si>
    <t>J5-4599</t>
  </si>
  <si>
    <t>Optim stack front / element+scrollMagic.js / Pg Slider date historique init slider</t>
  </si>
  <si>
    <t>J5-4598</t>
  </si>
  <si>
    <t>Optim stack front / element+scrollMagic.js / Pg Slider tranche corpo init slider</t>
  </si>
  <si>
    <t>J5-4597</t>
  </si>
  <si>
    <t>Optim stack front / element+scrollMagic.js / Pg Slider tranche Card Offer V2 init slider</t>
  </si>
  <si>
    <t>J5-4596</t>
  </si>
  <si>
    <t>Optim stack front / element+scrollMagic.js / Pg Slider tranche Card Offer V3 init slider (lignes 252 à 275)</t>
  </si>
  <si>
    <t>J5-4595</t>
  </si>
  <si>
    <t>Optim stack front / element+scrollMagic.js / Actu agent init slider (lignes 232 à 250)</t>
  </si>
  <si>
    <t>J5-4594</t>
  </si>
  <si>
    <t>Optim stack front / element+scrollMagic.js / Pg Slider big cards init (lignes 213 à 231)</t>
  </si>
  <si>
    <t>J5-4593</t>
  </si>
  <si>
    <t>Optim stack front / element+scrollMagic.js / Pg wysiwyg cards init slider (lignes 188 à 210)</t>
  </si>
  <si>
    <t>J5-4592</t>
  </si>
  <si>
    <t>Optim stack front / element_scrollMagic.js /Pg cards media init slider (lignes 160 à 186)</t>
  </si>
  <si>
    <t>J5-4591</t>
  </si>
  <si>
    <t>Optim stack front / element_scrollMagic.js /Pg image wysiwyg init slider (lignes 149 à 159)</t>
  </si>
  <si>
    <t>J5-4590</t>
  </si>
  <si>
    <t>Optim stack front / element_scrollMagic.js / Pg mini cards init slider (lignes 133 à 147)</t>
  </si>
  <si>
    <t>J5-4589</t>
  </si>
  <si>
    <t>Optim stack front / element_scrollMagic.js / Pg slider cards media init slider (lignes 88 à 129)</t>
  </si>
  <si>
    <t>J5-4588</t>
  </si>
  <si>
    <t>Optim stack front / element_scrollMagic.js / Pg besoin init slider (lignes 64 à 86)</t>
  </si>
  <si>
    <t>J5-4587</t>
  </si>
  <si>
    <t>Optim stack front / element_scrollMagic.js / Pg slider à onglets (lignes 36 à 62)</t>
  </si>
  <si>
    <t>J5-4586</t>
  </si>
  <si>
    <t>Optim stack front / element_scrollMagic.js / Pg testimonial (ligne 2 à 30)</t>
  </si>
  <si>
    <t>J5-4585</t>
  </si>
  <si>
    <t>Optim stack front end / App.js / Menu trouver offre</t>
  </si>
  <si>
    <t>J5-4584</t>
  </si>
  <si>
    <t>Optim stack front end / App.js / Accordéons page FAQ (lignes 256 à 264)</t>
  </si>
  <si>
    <t>J5-4583</t>
  </si>
  <si>
    <t>Optim stack front end / App.js / Pg switch (lignes 246 à 254)</t>
  </si>
  <si>
    <t>J5-4582</t>
  </si>
  <si>
    <t>Optim stack front end / App.js / WCB form (lignes 240 à 244)</t>
  </si>
  <si>
    <t>J5-4581</t>
  </si>
  <si>
    <t>Optim stack front end / App.js / Bouton retour sur les pages solutions v2 (lignes 231 à 238)</t>
  </si>
  <si>
    <t>J5-4580</t>
  </si>
  <si>
    <t>Optim stack front / Heading.js / Menu à onglet</t>
  </si>
  <si>
    <t>J5-4579</t>
  </si>
  <si>
    <t>Optim stack front / Heading.js / Accessibilité menu espace client</t>
  </si>
  <si>
    <t>J5-4578</t>
  </si>
  <si>
    <t>Optim stack front /video.js / home slider video</t>
  </si>
  <si>
    <t>J5-4577</t>
  </si>
  <si>
    <t>Optim stack front / tranche.js / pg card offer (ligne 22 à 48)</t>
  </si>
  <si>
    <t>J5-4576</t>
  </si>
  <si>
    <t>Optim stack front / tranche.js / carousel (ligne 16 à 20)</t>
  </si>
  <si>
    <t>J5-4575</t>
  </si>
  <si>
    <t>Optim stack front / tranche.js / Pg hero (lignes 1 à 14)</t>
  </si>
  <si>
    <t>J5-4569</t>
  </si>
  <si>
    <t>Optim stack front / top-4.js / PG top 4 indicators</t>
  </si>
  <si>
    <t>J5-4568</t>
  </si>
  <si>
    <t>Optim stack front / tooltips.js</t>
  </si>
  <si>
    <t>J5-4567</t>
  </si>
  <si>
    <t>Optim stack front /switch.js</t>
  </si>
  <si>
    <t>J5-4566</t>
  </si>
  <si>
    <t>Optim stack front / sticky-btn.js</t>
  </si>
  <si>
    <t>J5-4562</t>
  </si>
  <si>
    <t>Optim stack front /situations-difficiles.js</t>
  </si>
  <si>
    <t>J5-4561</t>
  </si>
  <si>
    <t>Optim stack front /set_referer.js</t>
  </si>
  <si>
    <t>J5-4560</t>
  </si>
  <si>
    <t>Optim stack front / popinyoutube.js</t>
  </si>
  <si>
    <t>J5-4558</t>
  </si>
  <si>
    <t xml:space="preserve">Optim stack front / pg-espace client </t>
  </si>
  <si>
    <t>J5-4557</t>
  </si>
  <si>
    <t>Optim stack front / page-solutions.js - PG sur me même thème (ligne 55 à 59)</t>
  </si>
  <si>
    <t>J5-4556</t>
  </si>
  <si>
    <t>Optim stack front / page-solutions.js - Page solution (lignes 1 à 53)</t>
  </si>
  <si>
    <t>J5-4554</t>
  </si>
  <si>
    <t xml:space="preserve">Optim stack front / note-satisfaction.js - Témoignages </t>
  </si>
  <si>
    <t>J5-4553</t>
  </si>
  <si>
    <t>Optim stack front / moments-de-vie.js</t>
  </si>
  <si>
    <t>J5-4544</t>
  </si>
  <si>
    <t>Optic stack front / App.js /Tooltips</t>
  </si>
  <si>
    <t>J5-4542</t>
  </si>
  <si>
    <t>Optim stack front end / App.js / Popup Cookies</t>
  </si>
  <si>
    <t>J5-4541</t>
  </si>
  <si>
    <t xml:space="preserve">Optim stack front end / App.js / PG service slider </t>
  </si>
  <si>
    <t>J5-4538</t>
  </si>
  <si>
    <t>Optim stack front / App.js / Navigation espace connecté</t>
  </si>
  <si>
    <t>J5-4537</t>
  </si>
  <si>
    <t>Optim stack front end /App.js /  Pg card level 1 (lignes 122 à 141)</t>
  </si>
  <si>
    <t>J5-4536</t>
  </si>
  <si>
    <t>Optim stack front end/ App.js / Pg key number</t>
  </si>
  <si>
    <t>J5-4535</t>
  </si>
  <si>
    <t xml:space="preserve">Optim stack front / App.js Suppression d'une classe sur bloc Footer Retraite </t>
  </si>
  <si>
    <t>J5-4534</t>
  </si>
  <si>
    <t>Optim stack front / App.js / ScrollMagic (Effet parallax)</t>
  </si>
  <si>
    <t>J5-4533</t>
  </si>
  <si>
    <t>Optim stack front / Apps.js / Champs date de naissance (lignes 81 à 85)</t>
  </si>
  <si>
    <t>J5-4532</t>
  </si>
  <si>
    <t>Optim stack front / Menu account</t>
  </si>
  <si>
    <t>J5-4530</t>
  </si>
  <si>
    <t>Optim stack front / app.js</t>
  </si>
  <si>
    <t>J5-4512</t>
  </si>
  <si>
    <t>Optim stack front / actualites.js</t>
  </si>
  <si>
    <t>J5-4453</t>
  </si>
  <si>
    <t>fin journée 30/04 / Promo LFM : dessactiver bandeau fasterize</t>
  </si>
  <si>
    <t>J5-4281</t>
  </si>
  <si>
    <t>BMC v3 | POC raccordement BMC (transfert des données)</t>
  </si>
  <si>
    <t>J5-4258</t>
  </si>
  <si>
    <t>[header offre] renommer le pg header offre &gt; en Header cartouche blanc (ou mieux !) + champ "a partir de" en "description" + ss description pour indiquer a la contrib ou ca s'affiche</t>
  </si>
  <si>
    <t>J5-5069</t>
  </si>
  <si>
    <t>J5-4254</t>
  </si>
  <si>
    <t>passer en old encapsulation</t>
  </si>
  <si>
    <t>J5-5121</t>
  </si>
  <si>
    <t>J5-4198</t>
  </si>
  <si>
    <t>Server side | Ajout script Tag Commander dans le Header</t>
  </si>
  <si>
    <t>J5-4181</t>
  </si>
  <si>
    <t>Ajouter des tranches dans bibliothèque de contenus</t>
  </si>
  <si>
    <t>J5-5123</t>
  </si>
  <si>
    <t>J5-4157</t>
  </si>
  <si>
    <t>Vue "Relecture" | Retour sur filtre par date</t>
  </si>
  <si>
    <t>J5-3957</t>
  </si>
  <si>
    <t>J5-4149</t>
  </si>
  <si>
    <t>[page edito] fixer le format de texte du chapo</t>
  </si>
  <si>
    <t>J5-4143</t>
  </si>
  <si>
    <t xml:space="preserve">[Taxo risque] Suppression de l'obligation d'ajout d'image </t>
  </si>
  <si>
    <t>J5-4023</t>
  </si>
  <si>
    <t>Personnalisation "objet" email d'un webform</t>
  </si>
  <si>
    <t>J5-3800</t>
  </si>
  <si>
    <t>limiter l'usage d'un paragraphe donné à un role donné</t>
  </si>
  <si>
    <t>J5-3673</t>
  </si>
  <si>
    <t>[ANO Tracking] - balise A - mise en avant offre burger menu</t>
  </si>
  <si>
    <t>Swann DEFFUANT</t>
  </si>
  <si>
    <t>J5-3567</t>
  </si>
  <si>
    <t xml:space="preserve">[page édito] ne pas afficher titre "sur le même thème" si vide </t>
  </si>
  <si>
    <t>J5-2761</t>
  </si>
  <si>
    <t>[page edito] decomm onglet “valeur”</t>
  </si>
  <si>
    <t>J5-2746</t>
  </si>
  <si>
    <t>J5-2656</t>
  </si>
  <si>
    <t>[page edito] ajout sommaire h2 auto</t>
  </si>
  <si>
    <t>J5-2594</t>
  </si>
  <si>
    <t>Decomm ex bulle Nous contacter custom</t>
  </si>
  <si>
    <t>split from</t>
  </si>
  <si>
    <t>Sprint</t>
  </si>
  <si>
    <t>EVOL TECHNIQUES</t>
  </si>
  <si>
    <t>Pulse - Sprint 24.2</t>
  </si>
  <si>
    <t>Pulse - Sprint 24.1</t>
  </si>
  <si>
    <t>Pulse - Sprint 23.7 IP</t>
  </si>
  <si>
    <t>Backlog Technique</t>
  </si>
  <si>
    <t>Tickets CRM 2026</t>
  </si>
  <si>
    <t>Pulse - Sprint 24.3</t>
  </si>
  <si>
    <t>Pulse - Sprint 24.1;Pulse - Sprint 24.2</t>
  </si>
  <si>
    <t>US SELFCARE</t>
  </si>
  <si>
    <t>Pulse - Sprint 23.4</t>
  </si>
  <si>
    <t>Pulse - Sprint 23.5;Pulse - Sprint 23.6</t>
  </si>
  <si>
    <t>Pulse - Sprint 23.7 IP;Pulse - Sprint 23.5;Pulse - Sprint 23.6</t>
  </si>
  <si>
    <t>Pulse - Sprint 23.4;Pulse - Sprint 23.5;Pulse - Sprint 23.6</t>
  </si>
  <si>
    <t>Pulse - Sprint 22.5;Pulse - Sprint 22.6 - IP;Pulse - Sprint 23.1</t>
  </si>
  <si>
    <t>Pulse - Sprint 23.7 IP;Pulse - Sprint 23.6</t>
  </si>
  <si>
    <t>Pulse - Sprint 22.2</t>
  </si>
  <si>
    <t>Sprint 21.2;Sprint 21.3</t>
  </si>
  <si>
    <t>Step 24.2;Step 24.1</t>
  </si>
  <si>
    <t>Step 24.4</t>
  </si>
  <si>
    <t>Step 24.3</t>
  </si>
  <si>
    <t>Step 24.2</t>
  </si>
  <si>
    <t>Sprint 24.2;Sprint 24.1</t>
  </si>
  <si>
    <t>Sprint 24.1</t>
  </si>
  <si>
    <t>Sprint 24.6</t>
  </si>
  <si>
    <t>Sprint 24.3</t>
  </si>
  <si>
    <t>Sprint 24.2</t>
  </si>
  <si>
    <t>Sprint 23.7;Sprint 24.1</t>
  </si>
  <si>
    <t>Sprint 24.4</t>
  </si>
  <si>
    <t>Sprint 24.5</t>
  </si>
  <si>
    <t>MH.com | Sprint 24.3</t>
  </si>
  <si>
    <t>MH.com | Sprint 24.2</t>
  </si>
  <si>
    <t>MH.com | Sprint 24.5 [TNR]</t>
  </si>
  <si>
    <t>MH.com | Sprint 24.1</t>
  </si>
  <si>
    <t>MH.com | Sprint 24.1;MH.com | Sprint 24.2</t>
  </si>
  <si>
    <t>MH.com | Sprint 23.3 - MEP#2;MH.com | Sprint 23.4 - MEP#2;MH.com | Sprint 23.6- MEP#2;MH.com | Sprint 24.1;MH.com | Sprint 24.2</t>
  </si>
  <si>
    <t>MH.com | Sprint 18.4;MH.com | Sprint 18.3</t>
  </si>
  <si>
    <t>MH.com | sprint 3.2;MH.com | sprint 3.1</t>
  </si>
  <si>
    <t>MH.com | Sprint 18.4;MH.com | Sprint 18.3;MH.com | Sprint 18.2;MH.com | sprint 3.3;MH.com | sprint 3.2;MH.com | sprint 2.3;MH.com | sprint 2.2;MH.com | sprint 3.1;MH.com | Sprint 18.5</t>
  </si>
  <si>
    <t>Sprint Courant</t>
  </si>
  <si>
    <t>24.2</t>
  </si>
  <si>
    <t>24.1</t>
  </si>
  <si>
    <t>24.3</t>
  </si>
  <si>
    <t>23.4</t>
  </si>
  <si>
    <t>23.6</t>
  </si>
  <si>
    <t>23.1</t>
  </si>
  <si>
    <t>22.2</t>
  </si>
  <si>
    <t>21.3</t>
  </si>
  <si>
    <t>24.4</t>
  </si>
  <si>
    <t>24.6</t>
  </si>
  <si>
    <t>24.5</t>
  </si>
  <si>
    <t>18.4</t>
  </si>
  <si>
    <t>3.2</t>
  </si>
  <si>
    <t>18.5</t>
  </si>
  <si>
    <t>MHOUV_COL</t>
  </si>
  <si>
    <t>PULSE</t>
  </si>
  <si>
    <t>MHOUV_TNS</t>
  </si>
  <si>
    <t>STEP</t>
  </si>
  <si>
    <t>SELLIGENT</t>
  </si>
  <si>
    <t>MHCOM</t>
  </si>
  <si>
    <t>SARATOGA</t>
  </si>
  <si>
    <t>Squad</t>
  </si>
  <si>
    <t>Pulse</t>
  </si>
  <si>
    <t>MHOUV_SOCLE</t>
  </si>
  <si>
    <t>MHouv TNS</t>
  </si>
  <si>
    <t>MHouv Collectif</t>
  </si>
  <si>
    <t>MHouv Santé</t>
  </si>
  <si>
    <t>MHOUV_CCN</t>
  </si>
  <si>
    <t>Saratoga</t>
  </si>
  <si>
    <t>Salesforce AGE</t>
  </si>
  <si>
    <t>SALESFORCE_AGE</t>
  </si>
  <si>
    <t>Salesforce Courtage</t>
  </si>
  <si>
    <t>SALESFORCE_COURTAGE</t>
  </si>
  <si>
    <t>ACCESSMH</t>
  </si>
  <si>
    <t>Lien_Canonique</t>
  </si>
  <si>
    <t>Niveau</t>
  </si>
  <si>
    <t>Type_Lien_Brut</t>
  </si>
  <si>
    <t>🔗 Dépendances — synthèse automatique (Features + US)</t>
  </si>
  <si>
    <t>Clé_Source</t>
  </si>
  <si>
    <t>Clé_Cible</t>
  </si>
  <si>
    <t>Résumé_Source</t>
  </si>
  <si>
    <t>État_Source</t>
  </si>
  <si>
    <t>Assigné_Source</t>
  </si>
  <si>
    <t>Échéance_Source</t>
  </si>
  <si>
    <t>Sprint_Source</t>
  </si>
  <si>
    <t>Projet_Source</t>
  </si>
  <si>
    <t>Squad_Source</t>
  </si>
  <si>
    <t>Résumé_Cible</t>
  </si>
  <si>
    <t>État_Cible</t>
  </si>
  <si>
    <t>Sprint_Cible</t>
  </si>
  <si>
    <t>Squad_Cible</t>
  </si>
  <si>
    <t>Analyse_Impact</t>
  </si>
  <si>
    <t>Inter_Squad</t>
  </si>
  <si>
    <t>_src</t>
  </si>
  <si>
    <t>_tgt</t>
  </si>
  <si>
    <t>_type_brut</t>
  </si>
  <si>
    <t>_niveau</t>
  </si>
  <si>
    <t>Tickets liés.issueKey</t>
  </si>
  <si>
    <t>NXT-8443</t>
  </si>
  <si>
    <t>NXT-8008</t>
  </si>
  <si>
    <t>[SELLIGENT] - [DDT 2026] - Contexte par défaut en cas de création d'Appel Sortant / Appel Entrant</t>
  </si>
  <si>
    <t>[NEW RCU] : Test de non regression (Fichiers issus du batch 350)</t>
  </si>
  <si>
    <t>RBOP-6945</t>
  </si>
  <si>
    <t>[PRESCRIPTEURS] : Retirer les espaces lors de la création d'un siret prescripteur</t>
  </si>
  <si>
    <t>RBOP-6267</t>
  </si>
  <si>
    <t>RBOP-6543</t>
  </si>
  <si>
    <t>RBOP-6544</t>
  </si>
  <si>
    <t>PVP-2781</t>
  </si>
  <si>
    <t>DESIGN-1793</t>
  </si>
  <si>
    <t>PVP-2618</t>
  </si>
  <si>
    <t>PVP-2614</t>
  </si>
  <si>
    <t>NXT-8591</t>
  </si>
  <si>
    <t>[Débranchements FASST] Activation Imperva</t>
  </si>
  <si>
    <t>NXT-8277</t>
  </si>
  <si>
    <t>NXT-6983</t>
  </si>
  <si>
    <t>Alice DARONDEAU</t>
  </si>
  <si>
    <t>NXT-8407</t>
  </si>
  <si>
    <t>NXT-8419</t>
  </si>
  <si>
    <t>NXT-8405</t>
  </si>
  <si>
    <t>NXT-8404</t>
  </si>
  <si>
    <t>NXT-8403</t>
  </si>
  <si>
    <t>NXT-8402</t>
  </si>
  <si>
    <t>NXT-7561</t>
  </si>
  <si>
    <t>NXT-7639</t>
  </si>
  <si>
    <t>NXT-7641</t>
  </si>
  <si>
    <t>NXT-7597</t>
  </si>
  <si>
    <t>NXT-7596</t>
  </si>
  <si>
    <t>NXT-7345</t>
  </si>
  <si>
    <t>NXT-7372</t>
  </si>
  <si>
    <t>NXT-8457</t>
  </si>
  <si>
    <t>[NEW RCU] 8 - Création de compte Courtier RCU : PP  Interlocuteur - PM / UC3</t>
  </si>
  <si>
    <t>[NEW RCU] 7 - Création de compte Courtier RCU : PP  Interlocuteur - PM / UC2</t>
  </si>
  <si>
    <t>[NEW RCU] 11 -  Modification de compte Courtier : MAJ Interlocuteur NRCU et compte CIAM</t>
  </si>
  <si>
    <t>NXT-6676</t>
  </si>
  <si>
    <t>[NEW RCU] 10 -  Suppression de compte Courtier : contrôle du compte CIAM</t>
  </si>
  <si>
    <t>NXT-6677</t>
  </si>
  <si>
    <t>NXT-6626</t>
  </si>
  <si>
    <t>[NEW RCU] 5 - Création de compte Courtier RCU : PP  Interlocuteur - PM / UC1</t>
  </si>
  <si>
    <t>NXT-8268</t>
  </si>
  <si>
    <t>NXT-8314</t>
  </si>
  <si>
    <t>NXT-8273</t>
  </si>
  <si>
    <t>NXT-7668</t>
  </si>
  <si>
    <t>NXT-8209</t>
  </si>
  <si>
    <t>J5-4861</t>
  </si>
  <si>
    <t>J5-4410</t>
  </si>
  <si>
    <t>J5-4937</t>
  </si>
  <si>
    <t>J5-4936</t>
  </si>
  <si>
    <t>J5-4539</t>
  </si>
  <si>
    <t>Evolution/création taxo cible risque produit et impacts vue content</t>
  </si>
  <si>
    <t>J5-3682</t>
  </si>
  <si>
    <t>MH.com | Sprint 23.4 - MEP#2;MH.com | Sprint 23.7 - MEP#2;MH.com | Sprint 23.5 - MEP#2;MH.com | Sprint 23.6- MEP#2;MH.com | Sprint 24.1;MH.com | Sprint 24.2</t>
  </si>
  <si>
    <t>J5-3449</t>
  </si>
  <si>
    <t>J5-4239</t>
  </si>
  <si>
    <t>J5-2591</t>
  </si>
  <si>
    <t>J5-2593</t>
  </si>
  <si>
    <t>Incrément</t>
  </si>
  <si>
    <t>PI24</t>
  </si>
  <si>
    <t>Acceptée</t>
  </si>
  <si>
    <t>PI23;PI24</t>
  </si>
  <si>
    <t>PI22;PI23;PI24</t>
  </si>
  <si>
    <t>PI21;PI22;PI23;PI24</t>
  </si>
  <si>
    <t>[PI24] Optimisations</t>
  </si>
  <si>
    <t>RBOP-6989</t>
  </si>
  <si>
    <t xml:space="preserve"> [PROJETS/VISION FINE] : Modifier un terme et ajouter une colonne sur le tableau projets de la vision fine</t>
  </si>
  <si>
    <t>RBOP-6987</t>
  </si>
  <si>
    <t xml:space="preserve">[PROJETS] : Retrait de la méthode de duplication et de la sélection du commercial sur certains boutons </t>
  </si>
  <si>
    <t>Pulse - Sprint 24.4</t>
  </si>
  <si>
    <t>RBOP-6986</t>
  </si>
  <si>
    <t>[PROJETS] : Dupliquer les particularités autres et clause de PB</t>
  </si>
  <si>
    <t>Pulse - Sprint 24.2;Pulse - Sprint 24.3</t>
  </si>
  <si>
    <t>Pulse - Sprint 24.1;Pulse - Sprint 24.2;Pulse - Sprint 24.3</t>
  </si>
  <si>
    <t>[PROJETS] : Gestion des partenaires sur les projets dupliqués</t>
  </si>
  <si>
    <t>Step 24.2;Step 24.3;Step 24.1</t>
  </si>
  <si>
    <t>🐕‍🦺[RIB] Vérifier la conformité des pièces sur la base des données reçues par l'API</t>
  </si>
  <si>
    <t>🐕‍🦺[Identité + RIB] Adapter le CTA et les messages d'informations en fonction du résultat (OK ou KO)</t>
  </si>
  <si>
    <t>Step 24.2;Step 24.3</t>
  </si>
  <si>
    <t>NXT-8685</t>
  </si>
  <si>
    <t>[NEW RCU] 4 - Analyse pour implémentation de la clé applicative</t>
  </si>
  <si>
    <t>NXT-8688</t>
  </si>
  <si>
    <t>[NEW RCU] D - Création de compte Courtier RCU : PP  Interlocuteur - PM / UC3</t>
  </si>
  <si>
    <t>[NEW RCU] C - Création de compte Courtier RCU : PP  Interlocuteur - PM / UC2</t>
  </si>
  <si>
    <t>[NEW RCU] A - Mise en place du feature flag NEW RCU</t>
  </si>
  <si>
    <t>[NEW RCU] F -  Modification de compte Courtier : MAJ Interlocuteur NRCU et compte CIAM</t>
  </si>
  <si>
    <t>[NEW RCU] E -  Suppression de compte Courtier : contrôle du compte CIAM</t>
  </si>
  <si>
    <t>[NEW RCU] 8 - Création de compte Courtier : compte CIAM et compte internaute</t>
  </si>
  <si>
    <t>[NEW RCU] B - Création de compte Courtier RCU : PP  Interlocuteur - PM / UC1</t>
  </si>
  <si>
    <t>PI21;PI24</t>
  </si>
  <si>
    <t>MH.com | Sprint 24.3;MH.com | Sprint 24.2</t>
  </si>
  <si>
    <t>MH.com | Sprint 24.3;MH.com | Sprint 24.1;MH.com | Sprint 24.2</t>
  </si>
  <si>
    <t>J5-5154</t>
  </si>
  <si>
    <t>MH.com | Sprint 24.4</t>
  </si>
  <si>
    <t>MH.com | Sprint 23.4 - MEP#2;MH.com | Sprint 23.7 - MEP#2;MH.com | Sprint 23.5 - MEP#2;MH.com | Sprint 23.6- MEP#2;MH.com | Sprint 24.3;MH.com | Sprint 24.1;MH.com | Sprint 24.2</t>
  </si>
  <si>
    <t>MH.com | Sprint 23.3 - MEP#2;MH.com | Sprint 23.4 - MEP#2;MH.com | Sprint 23.6- MEP#2;MH.com | Sprint 24.3;MH.com | Sprint 24.1;MH.com | Sprint 24.2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</si>
</sst>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2" fillId="0" borderId="0" xfId="0" applyFont="1"/>
    <xf numFmtId="0" fontId="5" fillId="7" borderId="0" xfId="0" applyFon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0" xfId="2"/>
    <xf numFmtId="0" fontId="4" fillId="2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6BB94098-A3FC-4384-AA6D-385CCA7150DD}"/>
  </cellStyles>
  <dxfs count="26">
    <dxf>
      <font>
        <b/>
        <i val="0"/>
      </font>
      <fill>
        <patternFill patternType="solid">
          <fgColor indexed="64"/>
          <bgColor rgb="FFF4B084"/>
        </patternFill>
      </fill>
    </dxf>
    <dxf>
      <font>
        <b val="0"/>
        <i val="0"/>
        <color rgb="FF1F3864"/>
      </font>
      <fill>
        <patternFill patternType="solid">
          <fgColor indexed="64"/>
          <bgColor rgb="FFDEEBF7"/>
        </patternFill>
      </fill>
    </dxf>
    <dxf>
      <font>
        <b val="0"/>
        <i val="0"/>
        <color rgb="FF806000"/>
      </font>
      <fill>
        <patternFill patternType="solid">
          <fgColor indexed="64"/>
          <bgColor rgb="FFFFF2CC"/>
        </patternFill>
      </fill>
    </dxf>
    <dxf>
      <font>
        <b val="0"/>
        <i val="0"/>
        <color rgb="FF806000"/>
      </font>
      <fill>
        <patternFill patternType="solid">
          <fgColor indexed="64"/>
          <bgColor rgb="FFFFF2CC"/>
        </patternFill>
      </fill>
    </dxf>
    <dxf>
      <font>
        <b val="0"/>
        <i val="0"/>
        <color rgb="FF806000"/>
      </font>
      <fill>
        <patternFill patternType="solid">
          <fgColor indexed="64"/>
          <bgColor rgb="FFFFF2CC"/>
        </patternFill>
      </fill>
    </dxf>
    <dxf>
      <font>
        <b val="0"/>
        <i val="0"/>
        <color rgb="FF595959"/>
      </font>
      <fill>
        <patternFill patternType="solid">
          <fgColor indexed="64"/>
          <bgColor rgb="FFBFBFBF"/>
        </patternFill>
      </fill>
    </dxf>
    <dxf>
      <font>
        <b val="0"/>
        <i val="0"/>
        <color rgb="FFFFFFFF"/>
      </font>
      <fill>
        <patternFill patternType="solid">
          <fgColor indexed="64"/>
          <bgColor rgb="FF70AD47"/>
        </patternFill>
      </fill>
    </dxf>
    <dxf>
      <font>
        <b/>
        <i val="0"/>
        <color rgb="FFFFFFFF"/>
      </font>
      <fill>
        <patternFill patternType="solid">
          <fgColor indexed="64"/>
          <bgColor rgb="FFED7D31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 val="0"/>
        <i/>
        <color rgb="FF7030A0"/>
      </font>
    </dxf>
    <dxf>
      <font>
        <color rgb="FF1F3864"/>
      </font>
    </dxf>
    <dxf>
      <font>
        <b/>
        <i val="0"/>
        <color rgb="FFC00000"/>
      </font>
    </dxf>
    <dxf>
      <fill>
        <patternFill patternType="solid">
          <fgColor indexed="64"/>
          <bgColor rgb="FFFFFFFF"/>
        </patternFill>
      </fill>
    </dxf>
    <dxf>
      <font>
        <b/>
        <i val="0"/>
      </font>
      <fill>
        <patternFill patternType="solid">
          <fgColor indexed="64"/>
          <bgColor rgb="FFBDD7E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E9E494B-1D6B-4A78-9CBA-DB15C39EEADB}" autoFormatId="16" applyNumberFormats="0" applyBorderFormats="0" applyFontFormats="0" applyPatternFormats="0" applyAlignmentFormats="0" applyWidthHeightFormats="0">
  <queryTableRefresh nextId="13">
    <queryTableFields count="12">
      <queryTableField id="1" name="Projet" tableColumnId="1"/>
      <queryTableField id="2" name="Type de ticket" tableColumnId="2"/>
      <queryTableField id="3" name="Clé" tableColumnId="3"/>
      <queryTableField id="4" name="Résumé" tableColumnId="4"/>
      <queryTableField id="5" name="Personne assignée" tableColumnId="5"/>
      <queryTableField id="6" name="Rapporteur" tableColumnId="6"/>
      <queryTableField id="7" name="État" tableColumnId="7"/>
      <queryTableField id="8" name="Date d'échéance" tableColumnId="8"/>
      <queryTableField id="9" name="Tickets liés" tableColumnId="9"/>
      <queryTableField id="10" name="Tickets liés.linkType" tableColumnId="10"/>
      <queryTableField id="11" name="Sprint" tableColumnId="11"/>
      <queryTableField id="12" name="Sprint Courant" tableColumnId="1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91704-39DE-48A4-86B5-D559F87D9667}" name="Table1" displayName="Table1" ref="A1:P58" totalsRowShown="0">
  <autoFilter ref="A1:P58" xr:uid="{DE891704-39DE-48A4-86B5-D559F87D9667}"/>
  <tableColumns count="16">
    <tableColumn id="16" xr3:uid="{C1EF75C8-A938-481C-94C9-FFB80C5E56AA}" name="Projet"/>
    <tableColumn id="15" xr3:uid="{00A0B145-21D6-45C8-B290-FA4888460657}" name="Type de ticket"/>
    <tableColumn id="14" xr3:uid="{4F99E239-F24B-4419-A277-F359E454220C}" name="Clé"/>
    <tableColumn id="1" xr3:uid="{EFC6AD62-7B36-4046-9022-6C36F1A65CE2}" name="Résumé"/>
    <tableColumn id="2" xr3:uid="{E80FAF75-DE50-478D-BF81-1BBCE1E86DBF}" name="Personne assignée"/>
    <tableColumn id="3" xr3:uid="{87EB7473-3F94-49EB-8C4E-B7CE3BA91C99}" name="Rapporteur"/>
    <tableColumn id="4" xr3:uid="{98535E03-E26A-4959-96CD-B0EA1198273D}" name="Priorité"/>
    <tableColumn id="5" xr3:uid="{699962CE-FB71-4D60-AC48-BCE94C9D877C}" name="État"/>
    <tableColumn id="6" xr3:uid="{4DA09A10-E742-4202-ABA7-C0D45920B02F}" name="Résolution"/>
    <tableColumn id="7" xr3:uid="{A110ACE5-D08C-4738-9DA6-CD8A40073F64}" name="Création"/>
    <tableColumn id="8" xr3:uid="{BDB2A892-253B-4202-AFC2-1685FDC1C7FA}" name="Mise à jour"/>
    <tableColumn id="9" xr3:uid="{915EB876-3D1D-4880-83A7-F069D76A0784}" name="Date d'échéance"/>
    <tableColumn id="10" xr3:uid="{5CC36C45-3712-4B47-894B-7EBD4C187F36}" name="Tickets liés.issueKey"/>
    <tableColumn id="11" xr3:uid="{3AF81F3D-4394-41C5-83D1-14DBFA35E305}" name="Tickets liés.linkType"/>
    <tableColumn id="12" xr3:uid="{26525326-5DA7-4E67-9946-98DC3FAB49FE}" name="Sprint"/>
    <tableColumn id="13" xr3:uid="{F71C5554-1112-47B5-80D0-E5EFBFCEEB70}" name="Incré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ABEF2-E65C-4D68-966E-EFA6824E1830}" name="Table2" displayName="Table2" ref="A1:L322" totalsRowShown="0">
  <autoFilter ref="A1:L322" xr:uid="{16BABEF2-E65C-4D68-966E-EFA6824E1830}"/>
  <tableColumns count="12">
    <tableColumn id="1" xr3:uid="{DFCF36B7-260D-479C-BF52-42117CA2B0CF}" name="Projet"/>
    <tableColumn id="4" xr3:uid="{3616948C-9D40-4250-9B87-FAFCE795E296}" name="Type de ticket"/>
    <tableColumn id="5" xr3:uid="{1DE062E0-4D78-40B2-AAA2-B8EE565C6505}" name="Clé"/>
    <tableColumn id="6" xr3:uid="{375BB981-3B27-48BC-B7E8-3459F11621F9}" name="Résumé"/>
    <tableColumn id="7" xr3:uid="{6FF65A91-9D7B-445C-884B-6EEB7CCCC082}" name="Personne assignée"/>
    <tableColumn id="8" xr3:uid="{76988566-5679-49E6-8860-EBB202F14810}" name="Rapporteur"/>
    <tableColumn id="9" xr3:uid="{1D0AA258-D5C9-4CE6-B537-5A2524292A0B}" name="État"/>
    <tableColumn id="10" xr3:uid="{B817E9EA-E3F1-4FB6-94E8-DB2DE7E66C68}" name="Date d'échéance"/>
    <tableColumn id="11" xr3:uid="{90BCEC1E-C646-40DB-AAC2-8027542138FE}" name="Tickets liés.issueKey"/>
    <tableColumn id="12" xr3:uid="{FBE211F4-69A2-4EF2-8D2F-8D26FB41513B}" name="Tickets liés.linkType"/>
    <tableColumn id="13" xr3:uid="{59A9C639-C465-41D1-ACC6-E7F7B464DBD0}" name="Sprint"/>
    <tableColumn id="14" xr3:uid="{75640C57-904E-42D0-B1CB-C83F2D5FED11}" name="Incré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205DFD-E9ED-4627-BB09-F4F558011F4C}" name="US_Cleanés" displayName="US_Cleanés" ref="A1:L316" tableType="queryTable" totalsRowShown="0">
  <autoFilter ref="A1:L316" xr:uid="{95205DFD-E9ED-4627-BB09-F4F558011F4C}"/>
  <tableColumns count="12">
    <tableColumn id="1" xr3:uid="{EB39EC25-A6CF-496D-8BD5-E772CFA6B7A5}" uniqueName="1" name="Projet" queryTableFieldId="1" dataDxfId="25"/>
    <tableColumn id="2" xr3:uid="{7A99DB92-A7BA-4F26-AC12-30DEFFAAE2B1}" uniqueName="2" name="Type de ticket" queryTableFieldId="2" dataDxfId="24"/>
    <tableColumn id="3" xr3:uid="{84614C7D-EEE8-4546-BF61-B3952BBCCF86}" uniqueName="3" name="Clé" queryTableFieldId="3" dataDxfId="23"/>
    <tableColumn id="4" xr3:uid="{4E6EFCB9-A57C-4F63-9EEB-D2D1EF86E4F1}" uniqueName="4" name="Résumé" queryTableFieldId="4" dataDxfId="22"/>
    <tableColumn id="5" xr3:uid="{7A9EED53-FF37-4924-B471-C8DEFED86B20}" uniqueName="5" name="Personne assignée" queryTableFieldId="5" dataDxfId="21"/>
    <tableColumn id="6" xr3:uid="{4573FBDC-E5F0-4417-A618-5719BD8AD452}" uniqueName="6" name="Rapporteur" queryTableFieldId="6" dataDxfId="20"/>
    <tableColumn id="7" xr3:uid="{9D0EC94C-4309-4EF6-89AF-CEB210FB0F54}" uniqueName="7" name="État" queryTableFieldId="7" dataDxfId="19"/>
    <tableColumn id="8" xr3:uid="{C12128AA-A640-4DA9-A454-7B61DCCFF9EE}" uniqueName="8" name="Date d'échéance" queryTableFieldId="8" dataDxfId="18"/>
    <tableColumn id="9" xr3:uid="{026D0200-6345-45B0-BA9D-74004D68BC1B}" uniqueName="9" name="Tickets liés" queryTableFieldId="9" dataDxfId="17"/>
    <tableColumn id="10" xr3:uid="{6E470BA0-BEE5-490C-94B6-DF7CB4D25886}" uniqueName="10" name="Tickets liés.linkType" queryTableFieldId="10" dataDxfId="16"/>
    <tableColumn id="11" xr3:uid="{EEFB07FC-18A8-478C-954E-95C9F03ECE11}" uniqueName="11" name="Sprint" queryTableFieldId="11" dataDxfId="15"/>
    <tableColumn id="12" xr3:uid="{EE8C4541-8B68-40F6-9541-90E99AA34EA2}" uniqueName="12" name="Sprint Couran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D993E0-6B65-4F6D-859E-CADFDE8B1679}" name="tblSquads" displayName="tblSquads" ref="A1:B14" totalsRowShown="0" headerRowDxfId="14">
  <autoFilter ref="A1:B14" xr:uid="{66D993E0-6B65-4F6D-859E-CADFDE8B1679}"/>
  <tableColumns count="2">
    <tableColumn id="1" xr3:uid="{E552AA3D-FE03-4D12-90DE-6FB65C4866B8}" name="Projet"/>
    <tableColumn id="2" xr3:uid="{5CEA2510-6CB0-4368-A60A-5F52198A304D}" name="Squ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33BE486-0088-4FC2-96DF-331D1AB87706}">
  <we:reference id="df76232d-21a6-4463-9d19-0518ac5aab5d" version="1.1.0.0" store="EXCatalog" storeType="EXCatalog"/>
  <we:alternateReferences>
    <we:reference id="WA200000556" version="1.1.0.0" store="en-US" storeType="OMEX"/>
  </we:alternateReferences>
  <we:properties>
    <we:property name="documentId" value="&quot;68eba9a0-4271-46f2-8a77-afe833ef36b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7CE2503-8024-4AC0-A1ED-2A30289087A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57eb770-c18f-4aef-8aa1-d5355850451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E04D-6596-4688-BA30-4A2F2945F88D}">
  <dimension ref="A1:P58"/>
  <sheetViews>
    <sheetView topLeftCell="H1" workbookViewId="0">
      <selection activeCell="O24" sqref="O24"/>
    </sheetView>
  </sheetViews>
  <sheetFormatPr defaultColWidth="8.7265625" defaultRowHeight="14.5" x14ac:dyDescent="0.35"/>
  <cols>
    <col min="1" max="9" width="10.26953125" customWidth="1"/>
    <col min="10" max="12" width="11.26953125" customWidth="1"/>
    <col min="13" max="13" width="20.1796875" customWidth="1"/>
    <col min="14" max="14" width="21.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878</v>
      </c>
      <c r="N1" t="s">
        <v>167</v>
      </c>
      <c r="O1" t="s">
        <v>781</v>
      </c>
      <c r="P1" t="s">
        <v>936</v>
      </c>
    </row>
    <row r="2" spans="1:16" x14ac:dyDescent="0.35">
      <c r="A2" t="s">
        <v>13</v>
      </c>
      <c r="B2" t="s">
        <v>14</v>
      </c>
      <c r="C2" t="s">
        <v>15</v>
      </c>
      <c r="D2" s="12" t="s">
        <v>16</v>
      </c>
      <c r="E2" t="s">
        <v>17</v>
      </c>
      <c r="F2" t="s">
        <v>18</v>
      </c>
      <c r="G2" t="s">
        <v>19</v>
      </c>
      <c r="H2" t="s">
        <v>20</v>
      </c>
      <c r="J2" s="1">
        <v>46091.655555555553</v>
      </c>
      <c r="K2" s="1">
        <v>46133.604166666664</v>
      </c>
      <c r="L2" s="1"/>
      <c r="M2" s="1"/>
      <c r="N2" s="1"/>
      <c r="P2" t="s">
        <v>937</v>
      </c>
    </row>
    <row r="3" spans="1:16" x14ac:dyDescent="0.35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t="s">
        <v>29</v>
      </c>
      <c r="J3" s="1">
        <v>46077.450694444444</v>
      </c>
      <c r="K3" s="1">
        <v>46133.513194444444</v>
      </c>
      <c r="L3" s="2">
        <v>46157</v>
      </c>
      <c r="P3" t="s">
        <v>937</v>
      </c>
    </row>
    <row r="4" spans="1:16" x14ac:dyDescent="0.35">
      <c r="A4" t="s">
        <v>13</v>
      </c>
      <c r="B4" t="s">
        <v>14</v>
      </c>
      <c r="C4" t="s">
        <v>26</v>
      </c>
      <c r="D4" t="s">
        <v>27</v>
      </c>
      <c r="E4" t="s">
        <v>17</v>
      </c>
      <c r="F4" t="s">
        <v>28</v>
      </c>
      <c r="G4" t="s">
        <v>19</v>
      </c>
      <c r="H4" t="s">
        <v>221</v>
      </c>
      <c r="I4" t="s">
        <v>938</v>
      </c>
      <c r="J4" s="1">
        <v>46036.65902777778</v>
      </c>
      <c r="K4" s="1">
        <v>46134.559027777781</v>
      </c>
      <c r="M4" t="s">
        <v>30</v>
      </c>
      <c r="N4" t="s">
        <v>168</v>
      </c>
      <c r="P4" t="s">
        <v>939</v>
      </c>
    </row>
    <row r="5" spans="1:16" x14ac:dyDescent="0.35">
      <c r="A5" t="s">
        <v>13</v>
      </c>
      <c r="B5" t="s">
        <v>14</v>
      </c>
      <c r="C5" t="s">
        <v>31</v>
      </c>
      <c r="D5" t="s">
        <v>32</v>
      </c>
      <c r="E5" t="s">
        <v>23</v>
      </c>
      <c r="F5" t="s">
        <v>28</v>
      </c>
      <c r="G5" t="s">
        <v>19</v>
      </c>
      <c r="H5" t="s">
        <v>33</v>
      </c>
      <c r="I5" t="s">
        <v>33</v>
      </c>
      <c r="J5" s="1">
        <v>46036.658333333333</v>
      </c>
      <c r="K5" s="1">
        <v>46106.475694444445</v>
      </c>
      <c r="P5" t="s">
        <v>939</v>
      </c>
    </row>
    <row r="6" spans="1:16" x14ac:dyDescent="0.35">
      <c r="A6" t="s">
        <v>13</v>
      </c>
      <c r="B6" t="s">
        <v>14</v>
      </c>
      <c r="C6" t="s">
        <v>34</v>
      </c>
      <c r="D6" t="s">
        <v>35</v>
      </c>
      <c r="F6" t="s">
        <v>28</v>
      </c>
      <c r="G6" t="s">
        <v>19</v>
      </c>
      <c r="H6" t="s">
        <v>20</v>
      </c>
      <c r="J6" s="1">
        <v>46017.454861111109</v>
      </c>
      <c r="K6" s="1">
        <v>46133.604166666664</v>
      </c>
      <c r="P6" t="s">
        <v>937</v>
      </c>
    </row>
    <row r="7" spans="1:16" x14ac:dyDescent="0.35">
      <c r="A7" t="s">
        <v>13</v>
      </c>
      <c r="B7" t="s">
        <v>14</v>
      </c>
      <c r="C7" t="s">
        <v>36</v>
      </c>
      <c r="D7" t="s">
        <v>37</v>
      </c>
      <c r="E7" t="s">
        <v>17</v>
      </c>
      <c r="F7" t="s">
        <v>28</v>
      </c>
      <c r="G7" t="s">
        <v>19</v>
      </c>
      <c r="H7" t="s">
        <v>52</v>
      </c>
      <c r="J7" s="1">
        <v>46014.623611111114</v>
      </c>
      <c r="K7" s="1">
        <v>46129.739583333336</v>
      </c>
      <c r="P7" t="s">
        <v>939</v>
      </c>
    </row>
    <row r="8" spans="1:16" x14ac:dyDescent="0.35">
      <c r="A8" t="s">
        <v>13</v>
      </c>
      <c r="B8" t="s">
        <v>14</v>
      </c>
      <c r="C8" t="s">
        <v>38</v>
      </c>
      <c r="D8" t="s">
        <v>39</v>
      </c>
      <c r="E8" t="s">
        <v>23</v>
      </c>
      <c r="F8" t="s">
        <v>28</v>
      </c>
      <c r="G8" t="s">
        <v>19</v>
      </c>
      <c r="H8" t="s">
        <v>52</v>
      </c>
      <c r="J8" s="1">
        <v>46014.618750000001</v>
      </c>
      <c r="K8" s="1">
        <v>46139.401388888888</v>
      </c>
      <c r="L8" s="2">
        <v>46183</v>
      </c>
      <c r="P8" t="s">
        <v>939</v>
      </c>
    </row>
    <row r="9" spans="1:16" x14ac:dyDescent="0.35">
      <c r="A9" t="s">
        <v>40</v>
      </c>
      <c r="B9" t="s">
        <v>14</v>
      </c>
      <c r="C9" t="s">
        <v>41</v>
      </c>
      <c r="D9" t="s">
        <v>42</v>
      </c>
      <c r="F9" t="s">
        <v>43</v>
      </c>
      <c r="G9" t="s">
        <v>19</v>
      </c>
      <c r="H9" t="s">
        <v>29</v>
      </c>
      <c r="J9" s="1">
        <v>46112.368750000001</v>
      </c>
      <c r="K9" s="1">
        <v>46135.359027777777</v>
      </c>
      <c r="P9" t="s">
        <v>937</v>
      </c>
    </row>
    <row r="10" spans="1:16" x14ac:dyDescent="0.35">
      <c r="A10" t="s">
        <v>40</v>
      </c>
      <c r="B10" t="s">
        <v>14</v>
      </c>
      <c r="C10" t="s">
        <v>44</v>
      </c>
      <c r="D10" t="s">
        <v>45</v>
      </c>
      <c r="F10" t="s">
        <v>18</v>
      </c>
      <c r="G10" t="s">
        <v>19</v>
      </c>
      <c r="H10" t="s">
        <v>20</v>
      </c>
      <c r="J10" s="1">
        <v>46091.450694444444</v>
      </c>
      <c r="K10" s="1">
        <v>46091.450694444444</v>
      </c>
      <c r="P10" t="s">
        <v>937</v>
      </c>
    </row>
    <row r="11" spans="1:16" x14ac:dyDescent="0.35">
      <c r="A11" t="s">
        <v>40</v>
      </c>
      <c r="B11" t="s">
        <v>14</v>
      </c>
      <c r="C11" t="s">
        <v>46</v>
      </c>
      <c r="D11" t="s">
        <v>47</v>
      </c>
      <c r="F11" t="s">
        <v>18</v>
      </c>
      <c r="G11" t="s">
        <v>19</v>
      </c>
      <c r="H11" t="s">
        <v>20</v>
      </c>
      <c r="J11" s="1">
        <v>46091.445833333331</v>
      </c>
      <c r="K11" s="1">
        <v>46091.524305555555</v>
      </c>
      <c r="P11" t="s">
        <v>937</v>
      </c>
    </row>
    <row r="12" spans="1:16" x14ac:dyDescent="0.35">
      <c r="A12" t="s">
        <v>40</v>
      </c>
      <c r="B12" t="s">
        <v>14</v>
      </c>
      <c r="C12" t="s">
        <v>48</v>
      </c>
      <c r="D12" t="s">
        <v>49</v>
      </c>
      <c r="F12" t="s">
        <v>18</v>
      </c>
      <c r="G12" t="s">
        <v>19</v>
      </c>
      <c r="H12" t="s">
        <v>20</v>
      </c>
      <c r="J12" s="1">
        <v>46091.429166666669</v>
      </c>
      <c r="K12" s="1">
        <v>46091.450694444444</v>
      </c>
      <c r="P12" t="s">
        <v>937</v>
      </c>
    </row>
    <row r="13" spans="1:16" x14ac:dyDescent="0.35">
      <c r="A13" t="s">
        <v>40</v>
      </c>
      <c r="B13" t="s">
        <v>14</v>
      </c>
      <c r="C13" t="s">
        <v>50</v>
      </c>
      <c r="D13" t="s">
        <v>51</v>
      </c>
      <c r="E13" t="s">
        <v>43</v>
      </c>
      <c r="F13" t="s">
        <v>18</v>
      </c>
      <c r="G13" t="s">
        <v>19</v>
      </c>
      <c r="H13" t="s">
        <v>52</v>
      </c>
      <c r="J13" s="1">
        <v>46091.425694444442</v>
      </c>
      <c r="K13" s="1">
        <v>46139.45</v>
      </c>
      <c r="P13" t="s">
        <v>937</v>
      </c>
    </row>
    <row r="14" spans="1:16" x14ac:dyDescent="0.35">
      <c r="A14" t="s">
        <v>40</v>
      </c>
      <c r="B14" t="s">
        <v>14</v>
      </c>
      <c r="C14" t="s">
        <v>53</v>
      </c>
      <c r="D14" t="s">
        <v>54</v>
      </c>
      <c r="F14" t="s">
        <v>43</v>
      </c>
      <c r="G14" t="s">
        <v>19</v>
      </c>
      <c r="H14" t="s">
        <v>52</v>
      </c>
      <c r="J14" s="1">
        <v>46085.341666666667</v>
      </c>
      <c r="K14" s="1">
        <v>46139.591666666667</v>
      </c>
      <c r="P14" t="s">
        <v>937</v>
      </c>
    </row>
    <row r="15" spans="1:16" x14ac:dyDescent="0.35">
      <c r="A15" t="s">
        <v>40</v>
      </c>
      <c r="B15" t="s">
        <v>14</v>
      </c>
      <c r="C15" t="s">
        <v>55</v>
      </c>
      <c r="D15" t="s">
        <v>56</v>
      </c>
      <c r="F15" t="s">
        <v>43</v>
      </c>
      <c r="G15" t="s">
        <v>19</v>
      </c>
      <c r="H15" t="s">
        <v>57</v>
      </c>
      <c r="J15" s="1">
        <v>45985.335416666669</v>
      </c>
      <c r="K15" s="1">
        <v>46122.408333333333</v>
      </c>
      <c r="P15" t="s">
        <v>939</v>
      </c>
    </row>
    <row r="16" spans="1:16" x14ac:dyDescent="0.35">
      <c r="A16" t="s">
        <v>40</v>
      </c>
      <c r="B16" t="s">
        <v>14</v>
      </c>
      <c r="C16" t="s">
        <v>58</v>
      </c>
      <c r="D16" t="s">
        <v>59</v>
      </c>
      <c r="F16" t="s">
        <v>60</v>
      </c>
      <c r="G16" t="s">
        <v>19</v>
      </c>
      <c r="H16" t="s">
        <v>52</v>
      </c>
      <c r="J16" s="1">
        <v>45874.479861111111</v>
      </c>
      <c r="K16" s="1">
        <v>46125.336805555555</v>
      </c>
      <c r="P16" t="s">
        <v>940</v>
      </c>
    </row>
    <row r="17" spans="1:16" x14ac:dyDescent="0.35">
      <c r="A17" t="s">
        <v>40</v>
      </c>
      <c r="B17" t="s">
        <v>14</v>
      </c>
      <c r="C17" t="s">
        <v>61</v>
      </c>
      <c r="D17" t="s">
        <v>62</v>
      </c>
      <c r="E17" t="s">
        <v>60</v>
      </c>
      <c r="F17" t="s">
        <v>60</v>
      </c>
      <c r="G17" t="s">
        <v>19</v>
      </c>
      <c r="H17" t="s">
        <v>52</v>
      </c>
      <c r="J17" s="1">
        <v>45874.478472222225</v>
      </c>
      <c r="K17" s="1">
        <v>46128.620833333334</v>
      </c>
      <c r="P17" t="s">
        <v>940</v>
      </c>
    </row>
    <row r="18" spans="1:16" x14ac:dyDescent="0.35">
      <c r="A18" t="s">
        <v>40</v>
      </c>
      <c r="B18" t="s">
        <v>14</v>
      </c>
      <c r="C18" t="s">
        <v>63</v>
      </c>
      <c r="D18" t="s">
        <v>64</v>
      </c>
      <c r="E18" t="s">
        <v>65</v>
      </c>
      <c r="F18" t="s">
        <v>43</v>
      </c>
      <c r="G18" t="s">
        <v>19</v>
      </c>
      <c r="H18" t="s">
        <v>52</v>
      </c>
      <c r="J18" s="1">
        <v>45845.47152777778</v>
      </c>
      <c r="K18" s="1">
        <v>46104.763888888891</v>
      </c>
      <c r="P18" t="s">
        <v>941</v>
      </c>
    </row>
    <row r="19" spans="1:16" x14ac:dyDescent="0.35">
      <c r="A19" t="s">
        <v>40</v>
      </c>
      <c r="B19" t="s">
        <v>14</v>
      </c>
      <c r="C19" t="s">
        <v>66</v>
      </c>
      <c r="D19" t="s">
        <v>67</v>
      </c>
      <c r="E19" t="s">
        <v>60</v>
      </c>
      <c r="F19" t="s">
        <v>68</v>
      </c>
      <c r="G19" t="s">
        <v>19</v>
      </c>
      <c r="H19" t="s">
        <v>52</v>
      </c>
      <c r="J19" s="1">
        <v>45784.713888888888</v>
      </c>
      <c r="K19" s="1">
        <v>46106.498611111114</v>
      </c>
      <c r="M19" t="s">
        <v>69</v>
      </c>
      <c r="N19" t="s">
        <v>168</v>
      </c>
      <c r="P19" t="s">
        <v>940</v>
      </c>
    </row>
    <row r="20" spans="1:16" x14ac:dyDescent="0.35">
      <c r="A20" t="s">
        <v>70</v>
      </c>
      <c r="B20" t="s">
        <v>14</v>
      </c>
      <c r="C20" t="s">
        <v>71</v>
      </c>
      <c r="D20" t="s">
        <v>72</v>
      </c>
      <c r="F20" t="s">
        <v>73</v>
      </c>
      <c r="G20" t="s">
        <v>19</v>
      </c>
      <c r="H20" t="s">
        <v>20</v>
      </c>
      <c r="J20" s="1">
        <v>46107.589583333334</v>
      </c>
      <c r="K20" s="1">
        <v>46107.590277777781</v>
      </c>
      <c r="P20" t="s">
        <v>937</v>
      </c>
    </row>
    <row r="21" spans="1:16" x14ac:dyDescent="0.35">
      <c r="A21" t="s">
        <v>70</v>
      </c>
      <c r="B21" t="s">
        <v>14</v>
      </c>
      <c r="C21" t="s">
        <v>74</v>
      </c>
      <c r="D21" t="s">
        <v>75</v>
      </c>
      <c r="E21" t="s">
        <v>73</v>
      </c>
      <c r="F21" t="s">
        <v>73</v>
      </c>
      <c r="G21" t="s">
        <v>19</v>
      </c>
      <c r="H21" t="s">
        <v>20</v>
      </c>
      <c r="J21" s="1">
        <v>46099.609722222223</v>
      </c>
      <c r="K21" s="1">
        <v>46107.469444444447</v>
      </c>
      <c r="P21" t="s">
        <v>937</v>
      </c>
    </row>
    <row r="22" spans="1:16" x14ac:dyDescent="0.35">
      <c r="A22" t="s">
        <v>70</v>
      </c>
      <c r="B22" t="s">
        <v>14</v>
      </c>
      <c r="C22" t="s">
        <v>76</v>
      </c>
      <c r="D22" t="s">
        <v>77</v>
      </c>
      <c r="F22" t="s">
        <v>73</v>
      </c>
      <c r="G22" t="s">
        <v>19</v>
      </c>
      <c r="H22" t="s">
        <v>20</v>
      </c>
      <c r="J22" s="1">
        <v>46099.606249999997</v>
      </c>
      <c r="K22" s="1">
        <v>46107.390277777777</v>
      </c>
      <c r="M22" t="s">
        <v>78</v>
      </c>
      <c r="N22" t="s">
        <v>169</v>
      </c>
      <c r="P22" t="s">
        <v>937</v>
      </c>
    </row>
    <row r="23" spans="1:16" x14ac:dyDescent="0.35">
      <c r="A23" t="s">
        <v>70</v>
      </c>
      <c r="B23" t="s">
        <v>14</v>
      </c>
      <c r="C23" t="s">
        <v>79</v>
      </c>
      <c r="D23" t="s">
        <v>80</v>
      </c>
      <c r="F23" t="s">
        <v>73</v>
      </c>
      <c r="G23" t="s">
        <v>19</v>
      </c>
      <c r="H23" t="s">
        <v>25</v>
      </c>
      <c r="J23" s="1">
        <v>46097.493055555555</v>
      </c>
      <c r="K23" s="1">
        <v>46135.384027777778</v>
      </c>
      <c r="P23" t="s">
        <v>937</v>
      </c>
    </row>
    <row r="24" spans="1:16" x14ac:dyDescent="0.35">
      <c r="A24" t="s">
        <v>70</v>
      </c>
      <c r="B24" t="s">
        <v>14</v>
      </c>
      <c r="C24" t="s">
        <v>81</v>
      </c>
      <c r="D24" t="s">
        <v>82</v>
      </c>
      <c r="F24" t="s">
        <v>83</v>
      </c>
      <c r="G24" t="s">
        <v>84</v>
      </c>
      <c r="H24" t="s">
        <v>25</v>
      </c>
      <c r="J24" s="1">
        <v>46095.416666666664</v>
      </c>
      <c r="K24" s="1">
        <v>46133.415277777778</v>
      </c>
      <c r="O24" t="s">
        <v>782</v>
      </c>
      <c r="P24" t="s">
        <v>937</v>
      </c>
    </row>
    <row r="25" spans="1:16" x14ac:dyDescent="0.35">
      <c r="A25" t="s">
        <v>70</v>
      </c>
      <c r="B25" t="s">
        <v>14</v>
      </c>
      <c r="C25" t="s">
        <v>85</v>
      </c>
      <c r="D25" t="s">
        <v>86</v>
      </c>
      <c r="F25" t="s">
        <v>73</v>
      </c>
      <c r="G25" t="s">
        <v>19</v>
      </c>
      <c r="H25" t="s">
        <v>25</v>
      </c>
      <c r="J25" s="1">
        <v>46090.642361111109</v>
      </c>
      <c r="K25" s="1">
        <v>46134.349305555559</v>
      </c>
      <c r="P25" t="s">
        <v>937</v>
      </c>
    </row>
    <row r="26" spans="1:16" x14ac:dyDescent="0.35">
      <c r="A26" t="s">
        <v>70</v>
      </c>
      <c r="B26" t="s">
        <v>14</v>
      </c>
      <c r="C26" t="s">
        <v>87</v>
      </c>
      <c r="D26" t="s">
        <v>942</v>
      </c>
      <c r="E26" t="s">
        <v>88</v>
      </c>
      <c r="F26" t="s">
        <v>73</v>
      </c>
      <c r="G26" t="s">
        <v>19</v>
      </c>
      <c r="H26" t="s">
        <v>29</v>
      </c>
      <c r="J26" s="1">
        <v>46090.640972222223</v>
      </c>
      <c r="K26" s="1">
        <v>46139.429861111108</v>
      </c>
      <c r="P26" t="s">
        <v>937</v>
      </c>
    </row>
    <row r="27" spans="1:16" x14ac:dyDescent="0.35">
      <c r="A27" t="s">
        <v>70</v>
      </c>
      <c r="B27" t="s">
        <v>14</v>
      </c>
      <c r="C27" t="s">
        <v>89</v>
      </c>
      <c r="D27" t="s">
        <v>90</v>
      </c>
      <c r="F27" t="s">
        <v>73</v>
      </c>
      <c r="G27" t="s">
        <v>19</v>
      </c>
      <c r="H27" t="s">
        <v>29</v>
      </c>
      <c r="J27" s="1">
        <v>46076.697222222225</v>
      </c>
      <c r="K27" s="1">
        <v>46139.656944444447</v>
      </c>
      <c r="P27" t="s">
        <v>937</v>
      </c>
    </row>
    <row r="28" spans="1:16" x14ac:dyDescent="0.35">
      <c r="A28" t="s">
        <v>70</v>
      </c>
      <c r="B28" t="s">
        <v>14</v>
      </c>
      <c r="C28" t="s">
        <v>91</v>
      </c>
      <c r="D28" t="s">
        <v>92</v>
      </c>
      <c r="F28" t="s">
        <v>73</v>
      </c>
      <c r="G28" t="s">
        <v>19</v>
      </c>
      <c r="H28" t="s">
        <v>25</v>
      </c>
      <c r="J28" s="1">
        <v>46069.45416666667</v>
      </c>
      <c r="K28" s="1">
        <v>46139.643750000003</v>
      </c>
      <c r="P28" t="s">
        <v>937</v>
      </c>
    </row>
    <row r="29" spans="1:16" x14ac:dyDescent="0.35">
      <c r="A29" t="s">
        <v>70</v>
      </c>
      <c r="B29" t="s">
        <v>14</v>
      </c>
      <c r="C29" t="s">
        <v>93</v>
      </c>
      <c r="D29" t="s">
        <v>94</v>
      </c>
      <c r="E29" t="s">
        <v>88</v>
      </c>
      <c r="F29" t="s">
        <v>88</v>
      </c>
      <c r="G29" t="s">
        <v>19</v>
      </c>
      <c r="H29" t="s">
        <v>25</v>
      </c>
      <c r="J29" s="1">
        <v>45993.697916666664</v>
      </c>
      <c r="K29" s="1">
        <v>46111.477777777778</v>
      </c>
      <c r="P29" t="s">
        <v>937</v>
      </c>
    </row>
    <row r="30" spans="1:16" x14ac:dyDescent="0.35">
      <c r="A30" t="s">
        <v>95</v>
      </c>
      <c r="B30" t="s">
        <v>14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33</v>
      </c>
      <c r="I30" t="s">
        <v>33</v>
      </c>
      <c r="J30" s="1">
        <v>46107.51666666667</v>
      </c>
      <c r="K30" s="1">
        <v>46107.522222222222</v>
      </c>
      <c r="P30" t="s">
        <v>937</v>
      </c>
    </row>
    <row r="31" spans="1:16" x14ac:dyDescent="0.35">
      <c r="A31" t="s">
        <v>95</v>
      </c>
      <c r="B31" t="s">
        <v>14</v>
      </c>
      <c r="C31" t="s">
        <v>101</v>
      </c>
      <c r="D31" t="s">
        <v>102</v>
      </c>
      <c r="F31" t="s">
        <v>103</v>
      </c>
      <c r="G31" t="s">
        <v>19</v>
      </c>
      <c r="H31" t="s">
        <v>20</v>
      </c>
      <c r="J31" s="1">
        <v>46105.373611111114</v>
      </c>
      <c r="K31" s="1">
        <v>46111.686111111114</v>
      </c>
      <c r="M31" t="s">
        <v>879</v>
      </c>
      <c r="N31" t="s">
        <v>170</v>
      </c>
      <c r="P31" t="s">
        <v>937</v>
      </c>
    </row>
    <row r="32" spans="1:16" x14ac:dyDescent="0.35">
      <c r="A32" t="s">
        <v>95</v>
      </c>
      <c r="B32" t="s">
        <v>14</v>
      </c>
      <c r="C32" t="s">
        <v>101</v>
      </c>
      <c r="D32" t="s">
        <v>102</v>
      </c>
      <c r="F32" t="s">
        <v>103</v>
      </c>
      <c r="G32" t="s">
        <v>19</v>
      </c>
      <c r="H32" t="s">
        <v>20</v>
      </c>
      <c r="J32" s="1">
        <v>46105.373611111114</v>
      </c>
      <c r="K32" s="1">
        <v>46111.686111111114</v>
      </c>
      <c r="M32" t="s">
        <v>880</v>
      </c>
      <c r="N32" t="s">
        <v>171</v>
      </c>
      <c r="P32" t="s">
        <v>937</v>
      </c>
    </row>
    <row r="33" spans="1:16" x14ac:dyDescent="0.35">
      <c r="A33" t="s">
        <v>95</v>
      </c>
      <c r="B33" t="s">
        <v>14</v>
      </c>
      <c r="C33" t="s">
        <v>104</v>
      </c>
      <c r="D33" t="s">
        <v>105</v>
      </c>
      <c r="F33" t="s">
        <v>106</v>
      </c>
      <c r="G33" t="s">
        <v>19</v>
      </c>
      <c r="H33" t="s">
        <v>52</v>
      </c>
      <c r="J33" s="1">
        <v>46066.368055555555</v>
      </c>
      <c r="K33" s="1">
        <v>46139.705555555556</v>
      </c>
      <c r="P33" t="s">
        <v>939</v>
      </c>
    </row>
    <row r="34" spans="1:16" x14ac:dyDescent="0.35">
      <c r="A34" t="s">
        <v>95</v>
      </c>
      <c r="B34" t="s">
        <v>14</v>
      </c>
      <c r="C34" t="s">
        <v>107</v>
      </c>
      <c r="D34" t="s">
        <v>108</v>
      </c>
      <c r="F34" t="s">
        <v>109</v>
      </c>
      <c r="G34" t="s">
        <v>19</v>
      </c>
      <c r="H34" t="s">
        <v>20</v>
      </c>
      <c r="J34" s="1">
        <v>46042.763888888891</v>
      </c>
      <c r="K34" s="1">
        <v>46107.548611111109</v>
      </c>
      <c r="P34" t="s">
        <v>937</v>
      </c>
    </row>
    <row r="35" spans="1:16" x14ac:dyDescent="0.35">
      <c r="A35" t="s">
        <v>95</v>
      </c>
      <c r="B35" t="s">
        <v>14</v>
      </c>
      <c r="C35" t="s">
        <v>110</v>
      </c>
      <c r="D35" t="s">
        <v>111</v>
      </c>
      <c r="E35" t="s">
        <v>112</v>
      </c>
      <c r="F35" t="s">
        <v>112</v>
      </c>
      <c r="G35" t="s">
        <v>19</v>
      </c>
      <c r="H35" t="s">
        <v>29</v>
      </c>
      <c r="J35" s="1">
        <v>45888.398611111108</v>
      </c>
      <c r="K35" s="1">
        <v>46077.638888888891</v>
      </c>
      <c r="P35" t="s">
        <v>939</v>
      </c>
    </row>
    <row r="36" spans="1:16" x14ac:dyDescent="0.35">
      <c r="A36" t="s">
        <v>113</v>
      </c>
      <c r="B36" t="s">
        <v>14</v>
      </c>
      <c r="C36" t="s">
        <v>114</v>
      </c>
      <c r="D36" t="s">
        <v>115</v>
      </c>
      <c r="E36" t="s">
        <v>116</v>
      </c>
      <c r="F36" t="s">
        <v>116</v>
      </c>
      <c r="G36" t="s">
        <v>19</v>
      </c>
      <c r="H36" t="s">
        <v>25</v>
      </c>
      <c r="J36" s="1">
        <v>46105.736111111109</v>
      </c>
      <c r="K36" s="1">
        <v>46139.499305555553</v>
      </c>
      <c r="P36" t="s">
        <v>937</v>
      </c>
    </row>
    <row r="37" spans="1:16" x14ac:dyDescent="0.35">
      <c r="A37" t="s">
        <v>113</v>
      </c>
      <c r="B37" t="s">
        <v>14</v>
      </c>
      <c r="C37" t="s">
        <v>117</v>
      </c>
      <c r="D37" t="s">
        <v>118</v>
      </c>
      <c r="E37" t="s">
        <v>116</v>
      </c>
      <c r="F37" t="s">
        <v>116</v>
      </c>
      <c r="G37" t="s">
        <v>19</v>
      </c>
      <c r="H37" t="s">
        <v>25</v>
      </c>
      <c r="J37" s="1">
        <v>46102.086805555555</v>
      </c>
      <c r="K37" s="1">
        <v>46103.392361111109</v>
      </c>
      <c r="P37" t="s">
        <v>937</v>
      </c>
    </row>
    <row r="38" spans="1:16" x14ac:dyDescent="0.35">
      <c r="A38" t="s">
        <v>113</v>
      </c>
      <c r="B38" t="s">
        <v>14</v>
      </c>
      <c r="C38" t="s">
        <v>119</v>
      </c>
      <c r="D38" t="s">
        <v>120</v>
      </c>
      <c r="E38" t="s">
        <v>116</v>
      </c>
      <c r="F38" t="s">
        <v>116</v>
      </c>
      <c r="G38" t="s">
        <v>19</v>
      </c>
      <c r="H38" t="s">
        <v>25</v>
      </c>
      <c r="J38" s="1">
        <v>46102.086111111108</v>
      </c>
      <c r="K38" s="1">
        <v>46102.086111111108</v>
      </c>
      <c r="P38" t="s">
        <v>937</v>
      </c>
    </row>
    <row r="39" spans="1:16" x14ac:dyDescent="0.35">
      <c r="A39" t="s">
        <v>113</v>
      </c>
      <c r="B39" t="s">
        <v>14</v>
      </c>
      <c r="C39" t="s">
        <v>121</v>
      </c>
      <c r="D39" t="s">
        <v>122</v>
      </c>
      <c r="F39" t="s">
        <v>116</v>
      </c>
      <c r="G39" t="s">
        <v>19</v>
      </c>
      <c r="H39" t="s">
        <v>25</v>
      </c>
      <c r="J39" s="1">
        <v>46102.009027777778</v>
      </c>
      <c r="K39" s="1">
        <v>46102.011111111111</v>
      </c>
      <c r="P39" t="s">
        <v>937</v>
      </c>
    </row>
    <row r="40" spans="1:16" x14ac:dyDescent="0.35">
      <c r="A40" t="s">
        <v>113</v>
      </c>
      <c r="B40" t="s">
        <v>14</v>
      </c>
      <c r="C40" t="s">
        <v>123</v>
      </c>
      <c r="D40" t="s">
        <v>124</v>
      </c>
      <c r="E40" t="s">
        <v>116</v>
      </c>
      <c r="F40" t="s">
        <v>116</v>
      </c>
      <c r="G40" t="s">
        <v>100</v>
      </c>
      <c r="H40" t="s">
        <v>25</v>
      </c>
      <c r="J40" s="1">
        <v>46100.756944444445</v>
      </c>
      <c r="K40" s="1">
        <v>46111.804166666669</v>
      </c>
      <c r="P40" t="s">
        <v>937</v>
      </c>
    </row>
    <row r="41" spans="1:16" x14ac:dyDescent="0.35">
      <c r="A41" t="s">
        <v>113</v>
      </c>
      <c r="B41" t="s">
        <v>14</v>
      </c>
      <c r="C41" t="s">
        <v>125</v>
      </c>
      <c r="D41" t="s">
        <v>126</v>
      </c>
      <c r="E41" t="s">
        <v>116</v>
      </c>
      <c r="F41" t="s">
        <v>116</v>
      </c>
      <c r="G41" t="s">
        <v>19</v>
      </c>
      <c r="H41" t="s">
        <v>25</v>
      </c>
      <c r="J41" s="1">
        <v>46095.974305555559</v>
      </c>
      <c r="K41" s="1">
        <v>46114.421527777777</v>
      </c>
      <c r="P41" t="s">
        <v>937</v>
      </c>
    </row>
    <row r="42" spans="1:16" x14ac:dyDescent="0.35">
      <c r="A42" t="s">
        <v>113</v>
      </c>
      <c r="B42" t="s">
        <v>14</v>
      </c>
      <c r="C42" t="s">
        <v>127</v>
      </c>
      <c r="D42" t="s">
        <v>128</v>
      </c>
      <c r="E42" t="s">
        <v>116</v>
      </c>
      <c r="F42" t="s">
        <v>116</v>
      </c>
      <c r="G42" t="s">
        <v>19</v>
      </c>
      <c r="H42" t="s">
        <v>20</v>
      </c>
      <c r="J42" s="1">
        <v>46095.970833333333</v>
      </c>
      <c r="K42" s="1">
        <v>46105.706944444442</v>
      </c>
      <c r="P42" t="s">
        <v>937</v>
      </c>
    </row>
    <row r="43" spans="1:16" x14ac:dyDescent="0.35">
      <c r="A43" t="s">
        <v>113</v>
      </c>
      <c r="B43" t="s">
        <v>14</v>
      </c>
      <c r="C43" t="s">
        <v>129</v>
      </c>
      <c r="D43" t="s">
        <v>130</v>
      </c>
      <c r="E43" t="s">
        <v>116</v>
      </c>
      <c r="F43" t="s">
        <v>116</v>
      </c>
      <c r="G43" t="s">
        <v>19</v>
      </c>
      <c r="H43" t="s">
        <v>25</v>
      </c>
      <c r="J43" s="1">
        <v>46094.868750000001</v>
      </c>
      <c r="K43" s="1">
        <v>46095.980555555558</v>
      </c>
      <c r="P43" t="s">
        <v>937</v>
      </c>
    </row>
    <row r="44" spans="1:16" x14ac:dyDescent="0.35">
      <c r="A44" t="s">
        <v>113</v>
      </c>
      <c r="B44" t="s">
        <v>14</v>
      </c>
      <c r="C44" t="s">
        <v>131</v>
      </c>
      <c r="D44" t="s">
        <v>132</v>
      </c>
      <c r="E44" t="s">
        <v>116</v>
      </c>
      <c r="F44" t="s">
        <v>116</v>
      </c>
      <c r="G44" t="s">
        <v>100</v>
      </c>
      <c r="H44" t="s">
        <v>25</v>
      </c>
      <c r="J44" s="1">
        <v>46094.757638888892</v>
      </c>
      <c r="K44" s="1">
        <v>46133.459027777775</v>
      </c>
      <c r="P44" t="s">
        <v>937</v>
      </c>
    </row>
    <row r="45" spans="1:16" x14ac:dyDescent="0.35">
      <c r="A45" t="s">
        <v>113</v>
      </c>
      <c r="B45" t="s">
        <v>14</v>
      </c>
      <c r="C45" t="s">
        <v>133</v>
      </c>
      <c r="D45" t="s">
        <v>134</v>
      </c>
      <c r="E45" t="s">
        <v>116</v>
      </c>
      <c r="F45" t="s">
        <v>116</v>
      </c>
      <c r="G45" t="s">
        <v>100</v>
      </c>
      <c r="H45" t="s">
        <v>25</v>
      </c>
      <c r="J45" s="1">
        <v>46091.964583333334</v>
      </c>
      <c r="K45" s="1">
        <v>46136.624305555553</v>
      </c>
      <c r="P45" t="s">
        <v>937</v>
      </c>
    </row>
    <row r="46" spans="1:16" x14ac:dyDescent="0.35">
      <c r="A46" t="s">
        <v>113</v>
      </c>
      <c r="B46" t="s">
        <v>14</v>
      </c>
      <c r="C46" t="s">
        <v>135</v>
      </c>
      <c r="D46" t="s">
        <v>136</v>
      </c>
      <c r="E46" t="s">
        <v>137</v>
      </c>
      <c r="F46" t="s">
        <v>116</v>
      </c>
      <c r="G46" t="s">
        <v>19</v>
      </c>
      <c r="H46" t="s">
        <v>25</v>
      </c>
      <c r="J46" s="1">
        <v>46078.761111111111</v>
      </c>
      <c r="K46" s="1">
        <v>46095.979861111111</v>
      </c>
      <c r="P46" t="s">
        <v>937</v>
      </c>
    </row>
    <row r="47" spans="1:16" x14ac:dyDescent="0.35">
      <c r="A47" t="s">
        <v>113</v>
      </c>
      <c r="B47" t="s">
        <v>14</v>
      </c>
      <c r="C47" t="s">
        <v>138</v>
      </c>
      <c r="D47" t="s">
        <v>139</v>
      </c>
      <c r="E47" t="s">
        <v>140</v>
      </c>
      <c r="F47" t="s">
        <v>116</v>
      </c>
      <c r="G47" t="s">
        <v>100</v>
      </c>
      <c r="H47" t="s">
        <v>25</v>
      </c>
      <c r="J47" s="1">
        <v>46078.594444444447</v>
      </c>
      <c r="K47" s="1">
        <v>46139.629166666666</v>
      </c>
      <c r="P47" t="s">
        <v>937</v>
      </c>
    </row>
    <row r="48" spans="1:16" x14ac:dyDescent="0.35">
      <c r="A48" t="s">
        <v>113</v>
      </c>
      <c r="B48" t="s">
        <v>14</v>
      </c>
      <c r="C48" t="s">
        <v>141</v>
      </c>
      <c r="D48" t="s">
        <v>142</v>
      </c>
      <c r="E48" t="s">
        <v>116</v>
      </c>
      <c r="F48" t="s">
        <v>116</v>
      </c>
      <c r="G48" t="s">
        <v>100</v>
      </c>
      <c r="H48" t="s">
        <v>20</v>
      </c>
      <c r="J48" s="1">
        <v>46067.65902777778</v>
      </c>
      <c r="K48" s="1">
        <v>46101.334722222222</v>
      </c>
      <c r="P48" t="s">
        <v>937</v>
      </c>
    </row>
    <row r="49" spans="1:16" x14ac:dyDescent="0.35">
      <c r="A49" t="s">
        <v>113</v>
      </c>
      <c r="B49" t="s">
        <v>14</v>
      </c>
      <c r="C49" t="s">
        <v>143</v>
      </c>
      <c r="D49" t="s">
        <v>144</v>
      </c>
      <c r="E49" t="s">
        <v>140</v>
      </c>
      <c r="F49" t="s">
        <v>140</v>
      </c>
      <c r="G49" t="s">
        <v>19</v>
      </c>
      <c r="H49" t="s">
        <v>52</v>
      </c>
      <c r="J49" s="1">
        <v>46065.490972222222</v>
      </c>
      <c r="K49" s="1">
        <v>46136.622916666667</v>
      </c>
      <c r="P49" t="s">
        <v>937</v>
      </c>
    </row>
    <row r="50" spans="1:16" x14ac:dyDescent="0.35">
      <c r="A50" t="s">
        <v>113</v>
      </c>
      <c r="B50" t="s">
        <v>14</v>
      </c>
      <c r="C50" t="s">
        <v>145</v>
      </c>
      <c r="D50" t="s">
        <v>146</v>
      </c>
      <c r="E50" t="s">
        <v>140</v>
      </c>
      <c r="F50" t="s">
        <v>140</v>
      </c>
      <c r="G50" t="s">
        <v>19</v>
      </c>
      <c r="H50" t="s">
        <v>29</v>
      </c>
      <c r="J50" s="1">
        <v>46065.463888888888</v>
      </c>
      <c r="K50" s="1">
        <v>46139.595833333333</v>
      </c>
      <c r="P50" t="s">
        <v>937</v>
      </c>
    </row>
    <row r="51" spans="1:16" x14ac:dyDescent="0.35">
      <c r="A51" t="s">
        <v>113</v>
      </c>
      <c r="B51" t="s">
        <v>14</v>
      </c>
      <c r="C51" t="s">
        <v>147</v>
      </c>
      <c r="D51" t="s">
        <v>148</v>
      </c>
      <c r="E51" t="s">
        <v>149</v>
      </c>
      <c r="F51" t="s">
        <v>137</v>
      </c>
      <c r="G51" t="s">
        <v>19</v>
      </c>
      <c r="H51" t="s">
        <v>25</v>
      </c>
      <c r="J51" s="1">
        <v>46048.493750000001</v>
      </c>
      <c r="K51" s="1">
        <v>46122.543055555558</v>
      </c>
      <c r="P51" t="s">
        <v>937</v>
      </c>
    </row>
    <row r="52" spans="1:16" x14ac:dyDescent="0.35">
      <c r="A52" t="s">
        <v>113</v>
      </c>
      <c r="B52" t="s">
        <v>14</v>
      </c>
      <c r="C52" t="s">
        <v>150</v>
      </c>
      <c r="D52" t="s">
        <v>151</v>
      </c>
      <c r="E52" t="s">
        <v>140</v>
      </c>
      <c r="F52" t="s">
        <v>140</v>
      </c>
      <c r="G52" t="s">
        <v>100</v>
      </c>
      <c r="H52" t="s">
        <v>25</v>
      </c>
      <c r="J52" s="1">
        <v>46006.695138888892</v>
      </c>
      <c r="K52" s="1">
        <v>46134.448611111111</v>
      </c>
      <c r="P52" t="s">
        <v>937</v>
      </c>
    </row>
    <row r="53" spans="1:16" x14ac:dyDescent="0.35">
      <c r="A53" t="s">
        <v>113</v>
      </c>
      <c r="B53" t="s">
        <v>14</v>
      </c>
      <c r="C53" t="s">
        <v>152</v>
      </c>
      <c r="D53" t="s">
        <v>153</v>
      </c>
      <c r="E53" t="s">
        <v>116</v>
      </c>
      <c r="F53" t="s">
        <v>116</v>
      </c>
      <c r="G53" t="s">
        <v>154</v>
      </c>
      <c r="H53" t="s">
        <v>25</v>
      </c>
      <c r="J53" s="1">
        <v>46005.019444444442</v>
      </c>
      <c r="K53" s="1">
        <v>46111.310416666667</v>
      </c>
      <c r="P53" t="s">
        <v>937</v>
      </c>
    </row>
    <row r="54" spans="1:16" x14ac:dyDescent="0.35">
      <c r="A54" t="s">
        <v>113</v>
      </c>
      <c r="B54" t="s">
        <v>14</v>
      </c>
      <c r="C54" t="s">
        <v>155</v>
      </c>
      <c r="D54" t="s">
        <v>156</v>
      </c>
      <c r="E54" t="s">
        <v>140</v>
      </c>
      <c r="F54" t="s">
        <v>116</v>
      </c>
      <c r="G54" t="s">
        <v>19</v>
      </c>
      <c r="H54" t="s">
        <v>25</v>
      </c>
      <c r="J54" s="1">
        <v>45870.67291666667</v>
      </c>
      <c r="K54" s="1">
        <v>46111.311111111114</v>
      </c>
      <c r="P54" t="s">
        <v>937</v>
      </c>
    </row>
    <row r="55" spans="1:16" x14ac:dyDescent="0.35">
      <c r="A55" t="s">
        <v>157</v>
      </c>
      <c r="B55" t="s">
        <v>14</v>
      </c>
      <c r="C55" t="s">
        <v>158</v>
      </c>
      <c r="D55" t="s">
        <v>159</v>
      </c>
      <c r="F55" t="s">
        <v>160</v>
      </c>
      <c r="G55" t="s">
        <v>19</v>
      </c>
      <c r="H55" t="s">
        <v>20</v>
      </c>
      <c r="J55" s="1">
        <v>46107.39166666667</v>
      </c>
      <c r="K55" s="1">
        <v>46115.645833333336</v>
      </c>
      <c r="P55" t="s">
        <v>937</v>
      </c>
    </row>
    <row r="56" spans="1:16" x14ac:dyDescent="0.35">
      <c r="A56" t="s">
        <v>157</v>
      </c>
      <c r="B56" t="s">
        <v>14</v>
      </c>
      <c r="C56" t="s">
        <v>161</v>
      </c>
      <c r="D56" t="s">
        <v>162</v>
      </c>
      <c r="F56" t="s">
        <v>160</v>
      </c>
      <c r="G56" t="s">
        <v>19</v>
      </c>
      <c r="H56" t="s">
        <v>52</v>
      </c>
      <c r="J56" s="1">
        <v>46097.508333333331</v>
      </c>
      <c r="K56" s="1">
        <v>46120.387499999997</v>
      </c>
      <c r="P56" t="s">
        <v>937</v>
      </c>
    </row>
    <row r="57" spans="1:16" x14ac:dyDescent="0.35">
      <c r="A57" t="s">
        <v>157</v>
      </c>
      <c r="B57" t="s">
        <v>14</v>
      </c>
      <c r="C57" t="s">
        <v>163</v>
      </c>
      <c r="D57" t="s">
        <v>164</v>
      </c>
      <c r="F57" t="s">
        <v>160</v>
      </c>
      <c r="G57" t="s">
        <v>19</v>
      </c>
      <c r="H57" t="s">
        <v>52</v>
      </c>
      <c r="J57" s="1">
        <v>46097.507638888892</v>
      </c>
      <c r="K57" s="1">
        <v>46139.477083333331</v>
      </c>
      <c r="P57" t="s">
        <v>937</v>
      </c>
    </row>
    <row r="58" spans="1:16" x14ac:dyDescent="0.35">
      <c r="A58" t="s">
        <v>157</v>
      </c>
      <c r="B58" t="s">
        <v>14</v>
      </c>
      <c r="C58" t="s">
        <v>165</v>
      </c>
      <c r="D58" t="s">
        <v>166</v>
      </c>
      <c r="F58" t="s">
        <v>160</v>
      </c>
      <c r="G58" t="s">
        <v>19</v>
      </c>
      <c r="H58" t="s">
        <v>52</v>
      </c>
      <c r="J58" s="1">
        <v>46097.507638888892</v>
      </c>
      <c r="K58" s="1">
        <v>46139.609722222223</v>
      </c>
      <c r="P58" t="s">
        <v>937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030C-F1AA-4685-AA0A-5497FB98B84A}">
  <dimension ref="A1:L322"/>
  <sheetViews>
    <sheetView topLeftCell="D1" workbookViewId="0">
      <selection activeCell="K12" sqref="K12"/>
    </sheetView>
  </sheetViews>
  <sheetFormatPr defaultColWidth="8.7265625" defaultRowHeight="14.5" x14ac:dyDescent="0.35"/>
  <cols>
    <col min="1" max="3" width="10.26953125" customWidth="1"/>
    <col min="4" max="4" width="27.36328125" customWidth="1"/>
    <col min="5" max="9" width="10.26953125" customWidth="1"/>
    <col min="10" max="10" width="14.81640625" customWidth="1"/>
    <col min="11" max="11" width="26.26953125" customWidth="1"/>
    <col min="12" max="12" width="11.26953125" customWidth="1"/>
    <col min="13" max="13" width="27.81640625" customWidth="1"/>
    <col min="14" max="14" width="11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11</v>
      </c>
      <c r="I1" t="s">
        <v>878</v>
      </c>
      <c r="J1" t="s">
        <v>167</v>
      </c>
      <c r="K1" t="s">
        <v>781</v>
      </c>
      <c r="L1" t="s">
        <v>936</v>
      </c>
    </row>
    <row r="2" spans="1:12" x14ac:dyDescent="0.35">
      <c r="A2" t="s">
        <v>13</v>
      </c>
      <c r="B2" t="s">
        <v>172</v>
      </c>
      <c r="C2" t="s">
        <v>173</v>
      </c>
      <c r="D2" s="12" t="s">
        <v>174</v>
      </c>
      <c r="E2" t="s">
        <v>17</v>
      </c>
      <c r="F2" t="s">
        <v>28</v>
      </c>
      <c r="G2" t="s">
        <v>248</v>
      </c>
      <c r="H2" s="1"/>
      <c r="I2" s="1"/>
      <c r="L2" t="s">
        <v>939</v>
      </c>
    </row>
    <row r="3" spans="1:12" x14ac:dyDescent="0.35">
      <c r="A3" t="s">
        <v>13</v>
      </c>
      <c r="B3" t="s">
        <v>172</v>
      </c>
      <c r="C3" t="s">
        <v>176</v>
      </c>
      <c r="D3" t="s">
        <v>177</v>
      </c>
      <c r="F3" t="s">
        <v>28</v>
      </c>
      <c r="G3" t="s">
        <v>175</v>
      </c>
      <c r="L3" t="s">
        <v>937</v>
      </c>
    </row>
    <row r="4" spans="1:12" x14ac:dyDescent="0.35">
      <c r="A4" t="s">
        <v>13</v>
      </c>
      <c r="B4" t="s">
        <v>172</v>
      </c>
      <c r="C4" t="s">
        <v>178</v>
      </c>
      <c r="D4" t="s">
        <v>179</v>
      </c>
      <c r="F4" t="s">
        <v>28</v>
      </c>
      <c r="G4" t="s">
        <v>175</v>
      </c>
      <c r="L4" t="s">
        <v>937</v>
      </c>
    </row>
    <row r="5" spans="1:12" x14ac:dyDescent="0.35">
      <c r="A5" t="s">
        <v>13</v>
      </c>
      <c r="B5" t="s">
        <v>172</v>
      </c>
      <c r="C5" t="s">
        <v>180</v>
      </c>
      <c r="D5" t="s">
        <v>181</v>
      </c>
      <c r="E5" t="s">
        <v>23</v>
      </c>
      <c r="F5" t="s">
        <v>28</v>
      </c>
      <c r="G5" t="s">
        <v>33</v>
      </c>
      <c r="L5" t="s">
        <v>939</v>
      </c>
    </row>
    <row r="6" spans="1:12" x14ac:dyDescent="0.35">
      <c r="A6" t="s">
        <v>13</v>
      </c>
      <c r="B6" t="s">
        <v>172</v>
      </c>
      <c r="C6" t="s">
        <v>182</v>
      </c>
      <c r="D6" t="s">
        <v>183</v>
      </c>
      <c r="F6" t="s">
        <v>28</v>
      </c>
      <c r="G6" t="s">
        <v>33</v>
      </c>
      <c r="L6" t="s">
        <v>939</v>
      </c>
    </row>
    <row r="7" spans="1:12" x14ac:dyDescent="0.35">
      <c r="A7" t="s">
        <v>13</v>
      </c>
      <c r="B7" t="s">
        <v>172</v>
      </c>
      <c r="C7" t="s">
        <v>184</v>
      </c>
      <c r="D7" t="s">
        <v>185</v>
      </c>
      <c r="E7" t="s">
        <v>28</v>
      </c>
      <c r="F7" t="s">
        <v>28</v>
      </c>
      <c r="G7" t="s">
        <v>175</v>
      </c>
      <c r="L7" t="s">
        <v>939</v>
      </c>
    </row>
    <row r="8" spans="1:12" x14ac:dyDescent="0.35">
      <c r="A8" t="s">
        <v>13</v>
      </c>
      <c r="B8" t="s">
        <v>172</v>
      </c>
      <c r="C8" t="s">
        <v>186</v>
      </c>
      <c r="D8" t="s">
        <v>187</v>
      </c>
      <c r="E8" t="s">
        <v>23</v>
      </c>
      <c r="F8" t="s">
        <v>28</v>
      </c>
      <c r="G8" t="s">
        <v>175</v>
      </c>
      <c r="L8" t="s">
        <v>939</v>
      </c>
    </row>
    <row r="9" spans="1:12" x14ac:dyDescent="0.35">
      <c r="A9" t="s">
        <v>13</v>
      </c>
      <c r="B9" t="s">
        <v>172</v>
      </c>
      <c r="C9" t="s">
        <v>188</v>
      </c>
      <c r="D9" t="s">
        <v>189</v>
      </c>
      <c r="E9" t="s">
        <v>23</v>
      </c>
      <c r="F9" t="s">
        <v>28</v>
      </c>
      <c r="G9" t="s">
        <v>175</v>
      </c>
      <c r="L9" t="s">
        <v>939</v>
      </c>
    </row>
    <row r="10" spans="1:12" x14ac:dyDescent="0.35">
      <c r="A10" t="s">
        <v>13</v>
      </c>
      <c r="B10" t="s">
        <v>172</v>
      </c>
      <c r="C10" t="s">
        <v>190</v>
      </c>
      <c r="D10" t="s">
        <v>191</v>
      </c>
      <c r="E10" t="s">
        <v>28</v>
      </c>
      <c r="F10" t="s">
        <v>28</v>
      </c>
      <c r="G10" t="s">
        <v>52</v>
      </c>
      <c r="L10" t="s">
        <v>939</v>
      </c>
    </row>
    <row r="11" spans="1:12" x14ac:dyDescent="0.35">
      <c r="A11" t="s">
        <v>13</v>
      </c>
      <c r="B11" t="s">
        <v>172</v>
      </c>
      <c r="C11" t="s">
        <v>192</v>
      </c>
      <c r="D11" t="s">
        <v>193</v>
      </c>
      <c r="E11" t="s">
        <v>23</v>
      </c>
      <c r="F11" t="s">
        <v>28</v>
      </c>
      <c r="G11" t="s">
        <v>175</v>
      </c>
      <c r="L11" t="s">
        <v>939</v>
      </c>
    </row>
    <row r="12" spans="1:12" x14ac:dyDescent="0.35">
      <c r="A12" t="s">
        <v>13</v>
      </c>
      <c r="B12" t="s">
        <v>172</v>
      </c>
      <c r="C12" t="s">
        <v>194</v>
      </c>
      <c r="D12" t="s">
        <v>195</v>
      </c>
      <c r="E12" t="s">
        <v>28</v>
      </c>
      <c r="F12" t="s">
        <v>28</v>
      </c>
      <c r="G12" t="s">
        <v>175</v>
      </c>
      <c r="L12" t="s">
        <v>939</v>
      </c>
    </row>
    <row r="13" spans="1:12" x14ac:dyDescent="0.35">
      <c r="A13" t="s">
        <v>13</v>
      </c>
      <c r="B13" t="s">
        <v>172</v>
      </c>
      <c r="C13" t="s">
        <v>196</v>
      </c>
      <c r="D13" t="s">
        <v>881</v>
      </c>
      <c r="E13" t="s">
        <v>23</v>
      </c>
      <c r="F13" t="s">
        <v>28</v>
      </c>
      <c r="G13" t="s">
        <v>175</v>
      </c>
      <c r="L13" t="s">
        <v>939</v>
      </c>
    </row>
    <row r="14" spans="1:12" x14ac:dyDescent="0.35">
      <c r="A14" t="s">
        <v>13</v>
      </c>
      <c r="B14" t="s">
        <v>172</v>
      </c>
      <c r="C14" t="s">
        <v>197</v>
      </c>
      <c r="D14" t="s">
        <v>198</v>
      </c>
      <c r="E14" t="s">
        <v>17</v>
      </c>
      <c r="F14" t="s">
        <v>28</v>
      </c>
      <c r="G14" t="s">
        <v>248</v>
      </c>
      <c r="L14" t="s">
        <v>939</v>
      </c>
    </row>
    <row r="15" spans="1:12" x14ac:dyDescent="0.35">
      <c r="A15" t="s">
        <v>13</v>
      </c>
      <c r="B15" t="s">
        <v>172</v>
      </c>
      <c r="C15" t="s">
        <v>199</v>
      </c>
      <c r="D15" t="s">
        <v>200</v>
      </c>
      <c r="E15" t="s">
        <v>28</v>
      </c>
      <c r="F15" t="s">
        <v>28</v>
      </c>
      <c r="G15" t="s">
        <v>248</v>
      </c>
      <c r="L15" t="s">
        <v>939</v>
      </c>
    </row>
    <row r="16" spans="1:12" x14ac:dyDescent="0.35">
      <c r="A16" t="s">
        <v>13</v>
      </c>
      <c r="B16" t="s">
        <v>172</v>
      </c>
      <c r="C16" t="s">
        <v>202</v>
      </c>
      <c r="D16" t="s">
        <v>882</v>
      </c>
      <c r="E16" t="s">
        <v>17</v>
      </c>
      <c r="F16" t="s">
        <v>28</v>
      </c>
      <c r="G16" t="s">
        <v>248</v>
      </c>
      <c r="L16" t="s">
        <v>939</v>
      </c>
    </row>
    <row r="17" spans="1:12" x14ac:dyDescent="0.35">
      <c r="A17" t="s">
        <v>13</v>
      </c>
      <c r="B17" t="s">
        <v>172</v>
      </c>
      <c r="C17" t="s">
        <v>204</v>
      </c>
      <c r="D17" t="s">
        <v>205</v>
      </c>
      <c r="E17" t="s">
        <v>17</v>
      </c>
      <c r="F17" t="s">
        <v>28</v>
      </c>
      <c r="G17" t="s">
        <v>278</v>
      </c>
      <c r="L17" t="s">
        <v>939</v>
      </c>
    </row>
    <row r="18" spans="1:12" x14ac:dyDescent="0.35">
      <c r="A18" t="s">
        <v>13</v>
      </c>
      <c r="B18" t="s">
        <v>172</v>
      </c>
      <c r="C18" t="s">
        <v>206</v>
      </c>
      <c r="D18" t="s">
        <v>207</v>
      </c>
      <c r="E18" t="s">
        <v>17</v>
      </c>
      <c r="F18" t="s">
        <v>28</v>
      </c>
      <c r="G18" t="s">
        <v>278</v>
      </c>
      <c r="L18" t="s">
        <v>939</v>
      </c>
    </row>
    <row r="19" spans="1:12" x14ac:dyDescent="0.35">
      <c r="A19" t="s">
        <v>13</v>
      </c>
      <c r="B19" t="s">
        <v>172</v>
      </c>
      <c r="C19" t="s">
        <v>208</v>
      </c>
      <c r="D19" t="s">
        <v>209</v>
      </c>
      <c r="E19" t="s">
        <v>23</v>
      </c>
      <c r="F19" t="s">
        <v>28</v>
      </c>
      <c r="G19" t="s">
        <v>210</v>
      </c>
      <c r="L19" t="s">
        <v>937</v>
      </c>
    </row>
    <row r="20" spans="1:12" x14ac:dyDescent="0.35">
      <c r="A20" t="s">
        <v>40</v>
      </c>
      <c r="B20" t="s">
        <v>172</v>
      </c>
      <c r="C20" t="s">
        <v>943</v>
      </c>
      <c r="D20" t="s">
        <v>944</v>
      </c>
      <c r="F20" t="s">
        <v>43</v>
      </c>
      <c r="G20" t="s">
        <v>29</v>
      </c>
      <c r="K20" t="s">
        <v>788</v>
      </c>
      <c r="L20" t="s">
        <v>937</v>
      </c>
    </row>
    <row r="21" spans="1:12" x14ac:dyDescent="0.35">
      <c r="A21" t="s">
        <v>40</v>
      </c>
      <c r="B21" t="s">
        <v>172</v>
      </c>
      <c r="C21" t="s">
        <v>945</v>
      </c>
      <c r="D21" t="s">
        <v>946</v>
      </c>
      <c r="F21" t="s">
        <v>43</v>
      </c>
      <c r="G21" t="s">
        <v>29</v>
      </c>
      <c r="K21" t="s">
        <v>947</v>
      </c>
      <c r="L21" t="s">
        <v>937</v>
      </c>
    </row>
    <row r="22" spans="1:12" x14ac:dyDescent="0.35">
      <c r="A22" t="s">
        <v>40</v>
      </c>
      <c r="B22" t="s">
        <v>172</v>
      </c>
      <c r="C22" t="s">
        <v>948</v>
      </c>
      <c r="D22" t="s">
        <v>949</v>
      </c>
      <c r="F22" t="s">
        <v>43</v>
      </c>
      <c r="G22" t="s">
        <v>29</v>
      </c>
      <c r="K22" t="s">
        <v>947</v>
      </c>
      <c r="L22" t="s">
        <v>937</v>
      </c>
    </row>
    <row r="23" spans="1:12" x14ac:dyDescent="0.35">
      <c r="A23" t="s">
        <v>40</v>
      </c>
      <c r="B23" t="s">
        <v>172</v>
      </c>
      <c r="C23" t="s">
        <v>883</v>
      </c>
      <c r="D23" t="s">
        <v>884</v>
      </c>
      <c r="E23" t="s">
        <v>229</v>
      </c>
      <c r="F23" t="s">
        <v>43</v>
      </c>
      <c r="G23" t="s">
        <v>214</v>
      </c>
      <c r="K23" t="s">
        <v>950</v>
      </c>
      <c r="L23" t="s">
        <v>937</v>
      </c>
    </row>
    <row r="24" spans="1:12" x14ac:dyDescent="0.35">
      <c r="A24" t="s">
        <v>40</v>
      </c>
      <c r="B24" t="s">
        <v>172</v>
      </c>
      <c r="C24" t="s">
        <v>211</v>
      </c>
      <c r="D24" t="s">
        <v>212</v>
      </c>
      <c r="E24" t="s">
        <v>213</v>
      </c>
      <c r="F24" t="s">
        <v>213</v>
      </c>
      <c r="G24" t="s">
        <v>214</v>
      </c>
      <c r="K24" t="s">
        <v>950</v>
      </c>
      <c r="L24" t="s">
        <v>937</v>
      </c>
    </row>
    <row r="25" spans="1:12" x14ac:dyDescent="0.35">
      <c r="A25" t="s">
        <v>40</v>
      </c>
      <c r="B25" t="s">
        <v>172</v>
      </c>
      <c r="C25" t="s">
        <v>215</v>
      </c>
      <c r="D25" t="s">
        <v>216</v>
      </c>
      <c r="F25" t="s">
        <v>43</v>
      </c>
      <c r="G25" t="s">
        <v>203</v>
      </c>
      <c r="L25" t="s">
        <v>937</v>
      </c>
    </row>
    <row r="26" spans="1:12" x14ac:dyDescent="0.35">
      <c r="A26" t="s">
        <v>40</v>
      </c>
      <c r="B26" t="s">
        <v>172</v>
      </c>
      <c r="C26" t="s">
        <v>217</v>
      </c>
      <c r="D26" t="s">
        <v>218</v>
      </c>
      <c r="E26" t="s">
        <v>60</v>
      </c>
      <c r="F26" t="s">
        <v>43</v>
      </c>
      <c r="G26" t="s">
        <v>201</v>
      </c>
      <c r="K26" t="s">
        <v>950</v>
      </c>
      <c r="L26" t="s">
        <v>937</v>
      </c>
    </row>
    <row r="27" spans="1:12" x14ac:dyDescent="0.35">
      <c r="A27" t="s">
        <v>40</v>
      </c>
      <c r="B27" t="s">
        <v>172</v>
      </c>
      <c r="C27" t="s">
        <v>219</v>
      </c>
      <c r="D27" t="s">
        <v>220</v>
      </c>
      <c r="E27" t="s">
        <v>60</v>
      </c>
      <c r="F27" t="s">
        <v>60</v>
      </c>
      <c r="G27" t="s">
        <v>221</v>
      </c>
      <c r="K27" t="s">
        <v>784</v>
      </c>
      <c r="L27" t="s">
        <v>937</v>
      </c>
    </row>
    <row r="28" spans="1:12" x14ac:dyDescent="0.35">
      <c r="A28" t="s">
        <v>40</v>
      </c>
      <c r="B28" t="s">
        <v>172</v>
      </c>
      <c r="C28" t="s">
        <v>222</v>
      </c>
      <c r="D28" t="s">
        <v>223</v>
      </c>
      <c r="E28" t="s">
        <v>224</v>
      </c>
      <c r="F28" t="s">
        <v>224</v>
      </c>
      <c r="G28" t="s">
        <v>221</v>
      </c>
      <c r="K28" t="s">
        <v>785</v>
      </c>
      <c r="L28" t="s">
        <v>937</v>
      </c>
    </row>
    <row r="29" spans="1:12" x14ac:dyDescent="0.35">
      <c r="A29" t="s">
        <v>40</v>
      </c>
      <c r="B29" t="s">
        <v>172</v>
      </c>
      <c r="C29" t="s">
        <v>225</v>
      </c>
      <c r="D29" t="s">
        <v>226</v>
      </c>
      <c r="E29" t="s">
        <v>65</v>
      </c>
      <c r="F29" t="s">
        <v>65</v>
      </c>
      <c r="G29" t="s">
        <v>221</v>
      </c>
      <c r="K29" t="s">
        <v>784</v>
      </c>
      <c r="L29" t="s">
        <v>937</v>
      </c>
    </row>
    <row r="30" spans="1:12" x14ac:dyDescent="0.35">
      <c r="A30" t="s">
        <v>40</v>
      </c>
      <c r="B30" t="s">
        <v>172</v>
      </c>
      <c r="C30" t="s">
        <v>227</v>
      </c>
      <c r="D30" t="s">
        <v>228</v>
      </c>
      <c r="E30" t="s">
        <v>229</v>
      </c>
      <c r="F30" t="s">
        <v>224</v>
      </c>
      <c r="G30" t="s">
        <v>214</v>
      </c>
      <c r="K30" t="s">
        <v>950</v>
      </c>
      <c r="L30" t="s">
        <v>937</v>
      </c>
    </row>
    <row r="31" spans="1:12" x14ac:dyDescent="0.35">
      <c r="A31" t="s">
        <v>40</v>
      </c>
      <c r="B31" t="s">
        <v>172</v>
      </c>
      <c r="C31" t="s">
        <v>230</v>
      </c>
      <c r="D31" t="s">
        <v>231</v>
      </c>
      <c r="E31" t="s">
        <v>232</v>
      </c>
      <c r="F31" t="s">
        <v>224</v>
      </c>
      <c r="G31" t="s">
        <v>201</v>
      </c>
      <c r="K31" t="s">
        <v>950</v>
      </c>
      <c r="L31" t="s">
        <v>937</v>
      </c>
    </row>
    <row r="32" spans="1:12" x14ac:dyDescent="0.35">
      <c r="A32" t="s">
        <v>40</v>
      </c>
      <c r="B32" t="s">
        <v>172</v>
      </c>
      <c r="C32" t="s">
        <v>233</v>
      </c>
      <c r="D32" t="s">
        <v>234</v>
      </c>
      <c r="E32" t="s">
        <v>43</v>
      </c>
      <c r="F32" t="s">
        <v>213</v>
      </c>
      <c r="G32" t="s">
        <v>221</v>
      </c>
      <c r="K32" t="s">
        <v>785</v>
      </c>
      <c r="L32" t="s">
        <v>937</v>
      </c>
    </row>
    <row r="33" spans="1:12" x14ac:dyDescent="0.35">
      <c r="A33" t="s">
        <v>40</v>
      </c>
      <c r="B33" t="s">
        <v>172</v>
      </c>
      <c r="C33" t="s">
        <v>235</v>
      </c>
      <c r="D33" t="s">
        <v>236</v>
      </c>
      <c r="E33" t="s">
        <v>60</v>
      </c>
      <c r="F33" t="s">
        <v>65</v>
      </c>
      <c r="G33" t="s">
        <v>221</v>
      </c>
      <c r="K33" t="s">
        <v>784</v>
      </c>
      <c r="L33" t="s">
        <v>937</v>
      </c>
    </row>
    <row r="34" spans="1:12" x14ac:dyDescent="0.35">
      <c r="A34" t="s">
        <v>40</v>
      </c>
      <c r="B34" t="s">
        <v>172</v>
      </c>
      <c r="C34" t="s">
        <v>237</v>
      </c>
      <c r="D34" t="s">
        <v>238</v>
      </c>
      <c r="E34" t="s">
        <v>60</v>
      </c>
      <c r="F34" t="s">
        <v>68</v>
      </c>
      <c r="G34" t="s">
        <v>221</v>
      </c>
      <c r="K34" t="s">
        <v>783</v>
      </c>
      <c r="L34" t="s">
        <v>937</v>
      </c>
    </row>
    <row r="35" spans="1:12" x14ac:dyDescent="0.35">
      <c r="A35" t="s">
        <v>40</v>
      </c>
      <c r="B35" t="s">
        <v>172</v>
      </c>
      <c r="C35" t="s">
        <v>239</v>
      </c>
      <c r="D35" t="s">
        <v>240</v>
      </c>
      <c r="E35" t="s">
        <v>65</v>
      </c>
      <c r="F35" t="s">
        <v>43</v>
      </c>
      <c r="G35" t="s">
        <v>221</v>
      </c>
      <c r="K35" t="s">
        <v>785</v>
      </c>
      <c r="L35" t="s">
        <v>937</v>
      </c>
    </row>
    <row r="36" spans="1:12" x14ac:dyDescent="0.35">
      <c r="A36" t="s">
        <v>40</v>
      </c>
      <c r="B36" t="s">
        <v>172</v>
      </c>
      <c r="C36" t="s">
        <v>241</v>
      </c>
      <c r="D36" t="s">
        <v>242</v>
      </c>
      <c r="F36" t="s">
        <v>43</v>
      </c>
      <c r="G36" t="s">
        <v>243</v>
      </c>
      <c r="K36" t="s">
        <v>787</v>
      </c>
      <c r="L36" t="s">
        <v>937</v>
      </c>
    </row>
    <row r="37" spans="1:12" x14ac:dyDescent="0.35">
      <c r="A37" t="s">
        <v>40</v>
      </c>
      <c r="B37" t="s">
        <v>172</v>
      </c>
      <c r="C37" t="s">
        <v>244</v>
      </c>
      <c r="D37" t="s">
        <v>245</v>
      </c>
      <c r="F37" t="s">
        <v>43</v>
      </c>
      <c r="G37" t="s">
        <v>29</v>
      </c>
      <c r="K37" t="s">
        <v>788</v>
      </c>
      <c r="L37" t="s">
        <v>937</v>
      </c>
    </row>
    <row r="38" spans="1:12" x14ac:dyDescent="0.35">
      <c r="A38" t="s">
        <v>40</v>
      </c>
      <c r="B38" t="s">
        <v>172</v>
      </c>
      <c r="C38" t="s">
        <v>246</v>
      </c>
      <c r="D38" t="s">
        <v>247</v>
      </c>
      <c r="E38" t="s">
        <v>43</v>
      </c>
      <c r="F38" t="s">
        <v>43</v>
      </c>
      <c r="G38" t="s">
        <v>221</v>
      </c>
      <c r="I38" t="s">
        <v>258</v>
      </c>
      <c r="J38" t="s">
        <v>168</v>
      </c>
      <c r="K38" t="s">
        <v>783</v>
      </c>
      <c r="L38" t="s">
        <v>937</v>
      </c>
    </row>
    <row r="39" spans="1:12" x14ac:dyDescent="0.35">
      <c r="A39" t="s">
        <v>40</v>
      </c>
      <c r="B39" t="s">
        <v>172</v>
      </c>
      <c r="C39" t="s">
        <v>246</v>
      </c>
      <c r="D39" t="s">
        <v>247</v>
      </c>
      <c r="E39" t="s">
        <v>43</v>
      </c>
      <c r="F39" t="s">
        <v>43</v>
      </c>
      <c r="G39" t="s">
        <v>221</v>
      </c>
      <c r="I39" t="s">
        <v>258</v>
      </c>
      <c r="J39" t="s">
        <v>170</v>
      </c>
      <c r="K39" t="s">
        <v>783</v>
      </c>
      <c r="L39" t="s">
        <v>937</v>
      </c>
    </row>
    <row r="40" spans="1:12" x14ac:dyDescent="0.35">
      <c r="A40" t="s">
        <v>40</v>
      </c>
      <c r="B40" t="s">
        <v>172</v>
      </c>
      <c r="C40" t="s">
        <v>249</v>
      </c>
      <c r="D40" t="s">
        <v>250</v>
      </c>
      <c r="E40" t="s">
        <v>43</v>
      </c>
      <c r="F40" t="s">
        <v>68</v>
      </c>
      <c r="G40" t="s">
        <v>221</v>
      </c>
      <c r="K40" t="s">
        <v>784</v>
      </c>
      <c r="L40" t="s">
        <v>937</v>
      </c>
    </row>
    <row r="41" spans="1:12" x14ac:dyDescent="0.35">
      <c r="A41" t="s">
        <v>40</v>
      </c>
      <c r="B41" t="s">
        <v>172</v>
      </c>
      <c r="C41" t="s">
        <v>251</v>
      </c>
      <c r="D41" t="s">
        <v>252</v>
      </c>
      <c r="E41" t="s">
        <v>60</v>
      </c>
      <c r="F41" t="s">
        <v>43</v>
      </c>
      <c r="G41" t="s">
        <v>221</v>
      </c>
      <c r="K41" t="s">
        <v>784</v>
      </c>
      <c r="L41" t="s">
        <v>937</v>
      </c>
    </row>
    <row r="42" spans="1:12" x14ac:dyDescent="0.35">
      <c r="A42" t="s">
        <v>40</v>
      </c>
      <c r="B42" t="s">
        <v>172</v>
      </c>
      <c r="C42" t="s">
        <v>253</v>
      </c>
      <c r="D42" t="s">
        <v>254</v>
      </c>
      <c r="E42" t="s">
        <v>60</v>
      </c>
      <c r="F42" t="s">
        <v>68</v>
      </c>
      <c r="G42" t="s">
        <v>221</v>
      </c>
      <c r="K42" t="s">
        <v>784</v>
      </c>
      <c r="L42" t="s">
        <v>937</v>
      </c>
    </row>
    <row r="43" spans="1:12" x14ac:dyDescent="0.35">
      <c r="A43" t="s">
        <v>40</v>
      </c>
      <c r="B43" t="s">
        <v>172</v>
      </c>
      <c r="C43" t="s">
        <v>255</v>
      </c>
      <c r="D43" t="s">
        <v>256</v>
      </c>
      <c r="E43" t="s">
        <v>257</v>
      </c>
      <c r="F43" t="s">
        <v>43</v>
      </c>
      <c r="G43" t="s">
        <v>52</v>
      </c>
      <c r="K43" t="s">
        <v>950</v>
      </c>
      <c r="L43" t="s">
        <v>937</v>
      </c>
    </row>
    <row r="44" spans="1:12" x14ac:dyDescent="0.35">
      <c r="A44" t="s">
        <v>40</v>
      </c>
      <c r="B44" t="s">
        <v>172</v>
      </c>
      <c r="C44" t="s">
        <v>258</v>
      </c>
      <c r="D44" t="s">
        <v>259</v>
      </c>
      <c r="E44" t="s">
        <v>43</v>
      </c>
      <c r="F44" t="s">
        <v>43</v>
      </c>
      <c r="G44" t="s">
        <v>221</v>
      </c>
      <c r="I44" t="s">
        <v>246</v>
      </c>
      <c r="J44" t="s">
        <v>170</v>
      </c>
      <c r="K44" t="s">
        <v>789</v>
      </c>
      <c r="L44" t="s">
        <v>937</v>
      </c>
    </row>
    <row r="45" spans="1:12" x14ac:dyDescent="0.35">
      <c r="A45" t="s">
        <v>40</v>
      </c>
      <c r="B45" t="s">
        <v>172</v>
      </c>
      <c r="C45" t="s">
        <v>258</v>
      </c>
      <c r="D45" t="s">
        <v>259</v>
      </c>
      <c r="E45" t="s">
        <v>43</v>
      </c>
      <c r="F45" t="s">
        <v>43</v>
      </c>
      <c r="G45" t="s">
        <v>221</v>
      </c>
      <c r="I45" t="s">
        <v>246</v>
      </c>
      <c r="J45" t="s">
        <v>168</v>
      </c>
      <c r="K45" t="s">
        <v>789</v>
      </c>
      <c r="L45" t="s">
        <v>937</v>
      </c>
    </row>
    <row r="46" spans="1:12" x14ac:dyDescent="0.35">
      <c r="A46" t="s">
        <v>40</v>
      </c>
      <c r="B46" t="s">
        <v>172</v>
      </c>
      <c r="C46" t="s">
        <v>260</v>
      </c>
      <c r="D46" t="s">
        <v>261</v>
      </c>
      <c r="E46" t="s">
        <v>60</v>
      </c>
      <c r="F46" t="s">
        <v>43</v>
      </c>
      <c r="G46" t="s">
        <v>221</v>
      </c>
      <c r="K46" t="s">
        <v>784</v>
      </c>
      <c r="L46" t="s">
        <v>937</v>
      </c>
    </row>
    <row r="47" spans="1:12" x14ac:dyDescent="0.35">
      <c r="A47" t="s">
        <v>40</v>
      </c>
      <c r="B47" t="s">
        <v>172</v>
      </c>
      <c r="C47" t="s">
        <v>262</v>
      </c>
      <c r="D47" t="s">
        <v>263</v>
      </c>
      <c r="E47" t="s">
        <v>43</v>
      </c>
      <c r="F47" t="s">
        <v>43</v>
      </c>
      <c r="G47" t="s">
        <v>221</v>
      </c>
      <c r="K47" t="s">
        <v>784</v>
      </c>
      <c r="L47" t="s">
        <v>937</v>
      </c>
    </row>
    <row r="48" spans="1:12" x14ac:dyDescent="0.35">
      <c r="A48" t="s">
        <v>40</v>
      </c>
      <c r="B48" t="s">
        <v>172</v>
      </c>
      <c r="C48" t="s">
        <v>264</v>
      </c>
      <c r="D48" t="s">
        <v>265</v>
      </c>
      <c r="E48" t="s">
        <v>266</v>
      </c>
      <c r="F48" t="s">
        <v>43</v>
      </c>
      <c r="G48" t="s">
        <v>221</v>
      </c>
      <c r="K48" t="s">
        <v>784</v>
      </c>
      <c r="L48" t="s">
        <v>937</v>
      </c>
    </row>
    <row r="49" spans="1:12" x14ac:dyDescent="0.35">
      <c r="A49" t="s">
        <v>40</v>
      </c>
      <c r="B49" t="s">
        <v>172</v>
      </c>
      <c r="C49" t="s">
        <v>267</v>
      </c>
      <c r="D49" t="s">
        <v>268</v>
      </c>
      <c r="E49" t="s">
        <v>269</v>
      </c>
      <c r="F49" t="s">
        <v>43</v>
      </c>
      <c r="G49" t="s">
        <v>221</v>
      </c>
      <c r="K49" t="s">
        <v>784</v>
      </c>
      <c r="L49" t="s">
        <v>937</v>
      </c>
    </row>
    <row r="50" spans="1:12" x14ac:dyDescent="0.35">
      <c r="A50" t="s">
        <v>40</v>
      </c>
      <c r="B50" t="s">
        <v>172</v>
      </c>
      <c r="C50" t="s">
        <v>270</v>
      </c>
      <c r="D50" t="s">
        <v>271</v>
      </c>
      <c r="F50" t="s">
        <v>60</v>
      </c>
      <c r="G50" t="s">
        <v>33</v>
      </c>
      <c r="K50" t="s">
        <v>790</v>
      </c>
      <c r="L50" t="s">
        <v>940</v>
      </c>
    </row>
    <row r="51" spans="1:12" x14ac:dyDescent="0.35">
      <c r="A51" t="s">
        <v>40</v>
      </c>
      <c r="B51" t="s">
        <v>172</v>
      </c>
      <c r="C51" t="s">
        <v>272</v>
      </c>
      <c r="D51" t="s">
        <v>273</v>
      </c>
      <c r="E51" t="s">
        <v>60</v>
      </c>
      <c r="F51" t="s">
        <v>60</v>
      </c>
      <c r="G51" t="s">
        <v>221</v>
      </c>
      <c r="K51" t="s">
        <v>784</v>
      </c>
      <c r="L51" t="s">
        <v>937</v>
      </c>
    </row>
    <row r="52" spans="1:12" x14ac:dyDescent="0.35">
      <c r="A52" t="s">
        <v>40</v>
      </c>
      <c r="B52" t="s">
        <v>172</v>
      </c>
      <c r="C52" t="s">
        <v>274</v>
      </c>
      <c r="D52" t="s">
        <v>275</v>
      </c>
      <c r="E52" t="s">
        <v>60</v>
      </c>
      <c r="F52" t="s">
        <v>60</v>
      </c>
      <c r="G52" t="s">
        <v>221</v>
      </c>
      <c r="K52" t="s">
        <v>784</v>
      </c>
      <c r="L52" t="s">
        <v>940</v>
      </c>
    </row>
    <row r="53" spans="1:12" x14ac:dyDescent="0.35">
      <c r="A53" t="s">
        <v>40</v>
      </c>
      <c r="B53" t="s">
        <v>172</v>
      </c>
      <c r="C53" t="s">
        <v>276</v>
      </c>
      <c r="D53" t="s">
        <v>277</v>
      </c>
      <c r="E53" t="s">
        <v>257</v>
      </c>
      <c r="F53" t="s">
        <v>43</v>
      </c>
      <c r="G53" t="s">
        <v>52</v>
      </c>
      <c r="K53" t="s">
        <v>951</v>
      </c>
      <c r="L53" t="s">
        <v>937</v>
      </c>
    </row>
    <row r="54" spans="1:12" x14ac:dyDescent="0.35">
      <c r="A54" t="s">
        <v>40</v>
      </c>
      <c r="B54" t="s">
        <v>172</v>
      </c>
      <c r="C54" t="s">
        <v>279</v>
      </c>
      <c r="D54" t="s">
        <v>952</v>
      </c>
      <c r="F54" t="s">
        <v>43</v>
      </c>
      <c r="G54" t="s">
        <v>29</v>
      </c>
      <c r="K54" t="s">
        <v>788</v>
      </c>
      <c r="L54" t="s">
        <v>937</v>
      </c>
    </row>
    <row r="55" spans="1:12" x14ac:dyDescent="0.35">
      <c r="A55" t="s">
        <v>40</v>
      </c>
      <c r="B55" t="s">
        <v>172</v>
      </c>
      <c r="C55" t="s">
        <v>281</v>
      </c>
      <c r="D55" t="s">
        <v>282</v>
      </c>
      <c r="E55" t="s">
        <v>43</v>
      </c>
      <c r="F55" t="s">
        <v>43</v>
      </c>
      <c r="G55" t="s">
        <v>221</v>
      </c>
      <c r="I55" t="s">
        <v>283</v>
      </c>
      <c r="J55" t="s">
        <v>170</v>
      </c>
      <c r="K55" t="s">
        <v>791</v>
      </c>
      <c r="L55" t="s">
        <v>941</v>
      </c>
    </row>
    <row r="56" spans="1:12" x14ac:dyDescent="0.35">
      <c r="A56" t="s">
        <v>40</v>
      </c>
      <c r="B56" t="s">
        <v>172</v>
      </c>
      <c r="C56" t="s">
        <v>284</v>
      </c>
      <c r="D56" t="s">
        <v>285</v>
      </c>
      <c r="F56" t="s">
        <v>68</v>
      </c>
      <c r="G56" t="s">
        <v>29</v>
      </c>
      <c r="K56" t="s">
        <v>947</v>
      </c>
      <c r="L56" t="s">
        <v>937</v>
      </c>
    </row>
    <row r="57" spans="1:12" x14ac:dyDescent="0.35">
      <c r="A57" t="s">
        <v>40</v>
      </c>
      <c r="B57" t="s">
        <v>172</v>
      </c>
      <c r="C57" t="s">
        <v>286</v>
      </c>
      <c r="D57" t="s">
        <v>287</v>
      </c>
      <c r="E57" t="s">
        <v>60</v>
      </c>
      <c r="F57" t="s">
        <v>60</v>
      </c>
      <c r="G57" t="s">
        <v>221</v>
      </c>
      <c r="K57" t="s">
        <v>792</v>
      </c>
      <c r="L57" t="s">
        <v>940</v>
      </c>
    </row>
    <row r="58" spans="1:12" x14ac:dyDescent="0.35">
      <c r="A58" t="s">
        <v>40</v>
      </c>
      <c r="B58" t="s">
        <v>172</v>
      </c>
      <c r="C58" t="s">
        <v>288</v>
      </c>
      <c r="D58" t="s">
        <v>289</v>
      </c>
      <c r="E58" t="s">
        <v>266</v>
      </c>
      <c r="F58" t="s">
        <v>266</v>
      </c>
      <c r="G58" t="s">
        <v>52</v>
      </c>
      <c r="K58" t="s">
        <v>786</v>
      </c>
      <c r="L58" t="s">
        <v>937</v>
      </c>
    </row>
    <row r="59" spans="1:12" x14ac:dyDescent="0.35">
      <c r="A59" t="s">
        <v>40</v>
      </c>
      <c r="B59" t="s">
        <v>172</v>
      </c>
      <c r="C59" t="s">
        <v>290</v>
      </c>
      <c r="D59" t="s">
        <v>291</v>
      </c>
      <c r="E59" t="s">
        <v>60</v>
      </c>
      <c r="F59" t="s">
        <v>43</v>
      </c>
      <c r="G59" t="s">
        <v>221</v>
      </c>
      <c r="K59" t="s">
        <v>783</v>
      </c>
      <c r="L59" t="s">
        <v>937</v>
      </c>
    </row>
    <row r="60" spans="1:12" x14ac:dyDescent="0.35">
      <c r="A60" t="s">
        <v>40</v>
      </c>
      <c r="B60" t="s">
        <v>172</v>
      </c>
      <c r="C60" t="s">
        <v>292</v>
      </c>
      <c r="D60" t="s">
        <v>293</v>
      </c>
      <c r="E60" t="s">
        <v>43</v>
      </c>
      <c r="F60" t="s">
        <v>43</v>
      </c>
      <c r="G60" t="s">
        <v>221</v>
      </c>
      <c r="K60" t="s">
        <v>793</v>
      </c>
      <c r="L60" t="s">
        <v>941</v>
      </c>
    </row>
    <row r="61" spans="1:12" x14ac:dyDescent="0.35">
      <c r="A61" t="s">
        <v>40</v>
      </c>
      <c r="B61" t="s">
        <v>172</v>
      </c>
      <c r="C61" t="s">
        <v>294</v>
      </c>
      <c r="D61" t="s">
        <v>295</v>
      </c>
      <c r="E61" t="s">
        <v>60</v>
      </c>
      <c r="F61" t="s">
        <v>60</v>
      </c>
      <c r="G61" t="s">
        <v>221</v>
      </c>
      <c r="I61" t="s">
        <v>296</v>
      </c>
      <c r="J61" t="s">
        <v>297</v>
      </c>
      <c r="K61" t="s">
        <v>794</v>
      </c>
      <c r="L61" t="s">
        <v>940</v>
      </c>
    </row>
    <row r="62" spans="1:12" x14ac:dyDescent="0.35">
      <c r="A62" t="s">
        <v>40</v>
      </c>
      <c r="B62" t="s">
        <v>172</v>
      </c>
      <c r="C62" t="s">
        <v>298</v>
      </c>
      <c r="D62" t="s">
        <v>299</v>
      </c>
      <c r="E62" t="s">
        <v>60</v>
      </c>
      <c r="F62" t="s">
        <v>68</v>
      </c>
      <c r="G62" t="s">
        <v>221</v>
      </c>
      <c r="I62" t="s">
        <v>885</v>
      </c>
      <c r="J62" t="s">
        <v>168</v>
      </c>
      <c r="K62" t="s">
        <v>795</v>
      </c>
      <c r="L62" t="s">
        <v>940</v>
      </c>
    </row>
    <row r="63" spans="1:12" x14ac:dyDescent="0.35">
      <c r="A63" t="s">
        <v>40</v>
      </c>
      <c r="B63" t="s">
        <v>172</v>
      </c>
      <c r="C63" t="s">
        <v>298</v>
      </c>
      <c r="D63" t="s">
        <v>299</v>
      </c>
      <c r="E63" t="s">
        <v>60</v>
      </c>
      <c r="F63" t="s">
        <v>68</v>
      </c>
      <c r="G63" t="s">
        <v>221</v>
      </c>
      <c r="I63" t="s">
        <v>886</v>
      </c>
      <c r="J63" t="s">
        <v>168</v>
      </c>
      <c r="K63" t="s">
        <v>795</v>
      </c>
      <c r="L63" t="s">
        <v>940</v>
      </c>
    </row>
    <row r="64" spans="1:12" x14ac:dyDescent="0.35">
      <c r="A64" t="s">
        <v>40</v>
      </c>
      <c r="B64" t="s">
        <v>172</v>
      </c>
      <c r="C64" t="s">
        <v>298</v>
      </c>
      <c r="D64" t="s">
        <v>299</v>
      </c>
      <c r="E64" t="s">
        <v>60</v>
      </c>
      <c r="F64" t="s">
        <v>68</v>
      </c>
      <c r="G64" t="s">
        <v>221</v>
      </c>
      <c r="I64" t="s">
        <v>887</v>
      </c>
      <c r="J64" t="s">
        <v>168</v>
      </c>
      <c r="K64" t="s">
        <v>795</v>
      </c>
      <c r="L64" t="s">
        <v>940</v>
      </c>
    </row>
    <row r="65" spans="1:12" x14ac:dyDescent="0.35">
      <c r="A65" t="s">
        <v>40</v>
      </c>
      <c r="B65" t="s">
        <v>172</v>
      </c>
      <c r="C65" t="s">
        <v>300</v>
      </c>
      <c r="D65" t="s">
        <v>301</v>
      </c>
      <c r="F65" t="s">
        <v>60</v>
      </c>
      <c r="G65" t="s">
        <v>33</v>
      </c>
      <c r="K65" t="s">
        <v>787</v>
      </c>
      <c r="L65" t="s">
        <v>940</v>
      </c>
    </row>
    <row r="66" spans="1:12" x14ac:dyDescent="0.35">
      <c r="A66" t="s">
        <v>40</v>
      </c>
      <c r="B66" t="s">
        <v>172</v>
      </c>
      <c r="C66" t="s">
        <v>302</v>
      </c>
      <c r="D66" t="s">
        <v>303</v>
      </c>
      <c r="F66" t="s">
        <v>60</v>
      </c>
      <c r="G66" t="s">
        <v>33</v>
      </c>
      <c r="K66" t="s">
        <v>787</v>
      </c>
      <c r="L66" t="s">
        <v>940</v>
      </c>
    </row>
    <row r="67" spans="1:12" x14ac:dyDescent="0.35">
      <c r="A67" t="s">
        <v>40</v>
      </c>
      <c r="B67" t="s">
        <v>172</v>
      </c>
      <c r="C67" t="s">
        <v>304</v>
      </c>
      <c r="D67" t="s">
        <v>305</v>
      </c>
      <c r="E67" t="s">
        <v>43</v>
      </c>
      <c r="F67" t="s">
        <v>43</v>
      </c>
      <c r="G67" t="s">
        <v>221</v>
      </c>
      <c r="K67" t="s">
        <v>796</v>
      </c>
      <c r="L67" t="s">
        <v>941</v>
      </c>
    </row>
    <row r="68" spans="1:12" x14ac:dyDescent="0.35">
      <c r="A68" t="s">
        <v>40</v>
      </c>
      <c r="B68" t="s">
        <v>172</v>
      </c>
      <c r="C68" t="s">
        <v>306</v>
      </c>
      <c r="D68" t="s">
        <v>307</v>
      </c>
      <c r="E68" t="s">
        <v>43</v>
      </c>
      <c r="F68" t="s">
        <v>308</v>
      </c>
      <c r="G68" t="s">
        <v>221</v>
      </c>
      <c r="I68" t="s">
        <v>309</v>
      </c>
      <c r="J68" t="s">
        <v>170</v>
      </c>
      <c r="K68" t="s">
        <v>797</v>
      </c>
      <c r="L68" t="s">
        <v>941</v>
      </c>
    </row>
    <row r="69" spans="1:12" x14ac:dyDescent="0.35">
      <c r="A69" t="s">
        <v>40</v>
      </c>
      <c r="B69" t="s">
        <v>172</v>
      </c>
      <c r="C69" t="s">
        <v>310</v>
      </c>
      <c r="D69" t="s">
        <v>311</v>
      </c>
      <c r="E69" t="s">
        <v>308</v>
      </c>
      <c r="F69" t="s">
        <v>43</v>
      </c>
      <c r="G69" t="s">
        <v>221</v>
      </c>
      <c r="K69" t="s">
        <v>795</v>
      </c>
      <c r="L69" t="s">
        <v>941</v>
      </c>
    </row>
    <row r="70" spans="1:12" x14ac:dyDescent="0.35">
      <c r="A70" t="s">
        <v>40</v>
      </c>
      <c r="B70" t="s">
        <v>172</v>
      </c>
      <c r="C70" t="s">
        <v>313</v>
      </c>
      <c r="D70" t="s">
        <v>314</v>
      </c>
      <c r="E70" t="s">
        <v>43</v>
      </c>
      <c r="F70" t="s">
        <v>43</v>
      </c>
      <c r="G70" t="s">
        <v>221</v>
      </c>
      <c r="K70" t="s">
        <v>798</v>
      </c>
      <c r="L70" t="s">
        <v>941</v>
      </c>
    </row>
    <row r="71" spans="1:12" x14ac:dyDescent="0.35">
      <c r="A71" t="s">
        <v>40</v>
      </c>
      <c r="B71" t="s">
        <v>172</v>
      </c>
      <c r="C71" t="s">
        <v>315</v>
      </c>
      <c r="D71" t="s">
        <v>316</v>
      </c>
      <c r="F71" t="s">
        <v>68</v>
      </c>
      <c r="G71" t="s">
        <v>33</v>
      </c>
      <c r="L71" t="s">
        <v>937</v>
      </c>
    </row>
    <row r="72" spans="1:12" x14ac:dyDescent="0.35">
      <c r="A72" t="s">
        <v>70</v>
      </c>
      <c r="B72" t="s">
        <v>172</v>
      </c>
      <c r="C72" t="s">
        <v>317</v>
      </c>
      <c r="D72" t="s">
        <v>318</v>
      </c>
      <c r="F72" t="s">
        <v>73</v>
      </c>
      <c r="G72" t="s">
        <v>33</v>
      </c>
      <c r="I72" t="s">
        <v>319</v>
      </c>
      <c r="J72" t="s">
        <v>320</v>
      </c>
      <c r="L72" t="s">
        <v>937</v>
      </c>
    </row>
    <row r="73" spans="1:12" x14ac:dyDescent="0.35">
      <c r="A73" t="s">
        <v>70</v>
      </c>
      <c r="B73" t="s">
        <v>172</v>
      </c>
      <c r="C73" t="s">
        <v>321</v>
      </c>
      <c r="D73" t="s">
        <v>322</v>
      </c>
      <c r="F73" t="s">
        <v>73</v>
      </c>
      <c r="G73" t="s">
        <v>29</v>
      </c>
      <c r="L73" t="s">
        <v>937</v>
      </c>
    </row>
    <row r="74" spans="1:12" x14ac:dyDescent="0.35">
      <c r="A74" t="s">
        <v>70</v>
      </c>
      <c r="B74" t="s">
        <v>172</v>
      </c>
      <c r="C74" t="s">
        <v>323</v>
      </c>
      <c r="D74" t="s">
        <v>324</v>
      </c>
      <c r="E74" t="s">
        <v>88</v>
      </c>
      <c r="F74" t="s">
        <v>73</v>
      </c>
      <c r="G74" t="s">
        <v>278</v>
      </c>
      <c r="K74" t="s">
        <v>953</v>
      </c>
      <c r="L74" t="s">
        <v>937</v>
      </c>
    </row>
    <row r="75" spans="1:12" x14ac:dyDescent="0.35">
      <c r="A75" t="s">
        <v>70</v>
      </c>
      <c r="B75" t="s">
        <v>172</v>
      </c>
      <c r="C75" t="s">
        <v>325</v>
      </c>
      <c r="D75" t="s">
        <v>326</v>
      </c>
      <c r="E75" t="s">
        <v>73</v>
      </c>
      <c r="F75" t="s">
        <v>73</v>
      </c>
      <c r="G75" t="s">
        <v>175</v>
      </c>
      <c r="I75" t="s">
        <v>888</v>
      </c>
      <c r="J75" t="s">
        <v>327</v>
      </c>
      <c r="L75" t="s">
        <v>937</v>
      </c>
    </row>
    <row r="76" spans="1:12" x14ac:dyDescent="0.35">
      <c r="A76" t="s">
        <v>70</v>
      </c>
      <c r="B76" t="s">
        <v>172</v>
      </c>
      <c r="C76" t="s">
        <v>325</v>
      </c>
      <c r="D76" t="s">
        <v>326</v>
      </c>
      <c r="E76" t="s">
        <v>73</v>
      </c>
      <c r="F76" t="s">
        <v>73</v>
      </c>
      <c r="G76" t="s">
        <v>175</v>
      </c>
      <c r="I76" t="s">
        <v>889</v>
      </c>
      <c r="J76" t="s">
        <v>168</v>
      </c>
      <c r="L76" t="s">
        <v>937</v>
      </c>
    </row>
    <row r="77" spans="1:12" x14ac:dyDescent="0.35">
      <c r="A77" t="s">
        <v>70</v>
      </c>
      <c r="B77" t="s">
        <v>172</v>
      </c>
      <c r="C77" t="s">
        <v>328</v>
      </c>
      <c r="D77" t="s">
        <v>329</v>
      </c>
      <c r="F77" t="s">
        <v>73</v>
      </c>
      <c r="G77" t="s">
        <v>33</v>
      </c>
      <c r="I77" t="s">
        <v>330</v>
      </c>
      <c r="J77" t="s">
        <v>331</v>
      </c>
      <c r="L77" t="s">
        <v>937</v>
      </c>
    </row>
    <row r="78" spans="1:12" x14ac:dyDescent="0.35">
      <c r="A78" t="s">
        <v>70</v>
      </c>
      <c r="B78" t="s">
        <v>172</v>
      </c>
      <c r="C78" t="s">
        <v>332</v>
      </c>
      <c r="D78" t="s">
        <v>333</v>
      </c>
      <c r="F78" t="s">
        <v>73</v>
      </c>
      <c r="G78" t="s">
        <v>33</v>
      </c>
      <c r="L78" t="s">
        <v>937</v>
      </c>
    </row>
    <row r="79" spans="1:12" x14ac:dyDescent="0.35">
      <c r="A79" t="s">
        <v>70</v>
      </c>
      <c r="B79" t="s">
        <v>172</v>
      </c>
      <c r="C79" t="s">
        <v>334</v>
      </c>
      <c r="D79" t="s">
        <v>335</v>
      </c>
      <c r="F79" t="s">
        <v>73</v>
      </c>
      <c r="G79" t="s">
        <v>33</v>
      </c>
      <c r="L79" t="s">
        <v>937</v>
      </c>
    </row>
    <row r="80" spans="1:12" x14ac:dyDescent="0.35">
      <c r="A80" t="s">
        <v>70</v>
      </c>
      <c r="B80" t="s">
        <v>172</v>
      </c>
      <c r="C80" t="s">
        <v>336</v>
      </c>
      <c r="D80" t="s">
        <v>954</v>
      </c>
      <c r="E80" t="s">
        <v>347</v>
      </c>
      <c r="F80" t="s">
        <v>73</v>
      </c>
      <c r="G80" t="s">
        <v>29</v>
      </c>
      <c r="K80" t="s">
        <v>801</v>
      </c>
      <c r="L80" t="s">
        <v>937</v>
      </c>
    </row>
    <row r="81" spans="1:12" x14ac:dyDescent="0.35">
      <c r="A81" t="s">
        <v>70</v>
      </c>
      <c r="B81" t="s">
        <v>172</v>
      </c>
      <c r="C81" t="s">
        <v>338</v>
      </c>
      <c r="D81" t="s">
        <v>955</v>
      </c>
      <c r="F81" t="s">
        <v>73</v>
      </c>
      <c r="G81" t="s">
        <v>29</v>
      </c>
      <c r="I81" t="s">
        <v>340</v>
      </c>
      <c r="J81" t="s">
        <v>297</v>
      </c>
      <c r="K81" t="s">
        <v>801</v>
      </c>
      <c r="L81" t="s">
        <v>937</v>
      </c>
    </row>
    <row r="82" spans="1:12" x14ac:dyDescent="0.35">
      <c r="A82" t="s">
        <v>70</v>
      </c>
      <c r="B82" t="s">
        <v>172</v>
      </c>
      <c r="C82" t="s">
        <v>341</v>
      </c>
      <c r="D82" t="s">
        <v>342</v>
      </c>
      <c r="E82" t="s">
        <v>343</v>
      </c>
      <c r="F82" t="s">
        <v>73</v>
      </c>
      <c r="G82" t="s">
        <v>221</v>
      </c>
      <c r="I82" t="s">
        <v>319</v>
      </c>
      <c r="J82" t="s">
        <v>170</v>
      </c>
      <c r="K82" t="s">
        <v>802</v>
      </c>
      <c r="L82" t="s">
        <v>937</v>
      </c>
    </row>
    <row r="83" spans="1:12" x14ac:dyDescent="0.35">
      <c r="A83" t="s">
        <v>70</v>
      </c>
      <c r="B83" t="s">
        <v>172</v>
      </c>
      <c r="C83" t="s">
        <v>340</v>
      </c>
      <c r="D83" t="s">
        <v>344</v>
      </c>
      <c r="E83" t="s">
        <v>73</v>
      </c>
      <c r="F83" t="s">
        <v>73</v>
      </c>
      <c r="G83" t="s">
        <v>243</v>
      </c>
      <c r="I83" t="s">
        <v>338</v>
      </c>
      <c r="J83" t="s">
        <v>171</v>
      </c>
      <c r="K83" t="s">
        <v>800</v>
      </c>
      <c r="L83" t="s">
        <v>937</v>
      </c>
    </row>
    <row r="84" spans="1:12" x14ac:dyDescent="0.35">
      <c r="A84" t="s">
        <v>70</v>
      </c>
      <c r="B84" t="s">
        <v>172</v>
      </c>
      <c r="C84" t="s">
        <v>345</v>
      </c>
      <c r="D84" t="s">
        <v>346</v>
      </c>
      <c r="E84" t="s">
        <v>347</v>
      </c>
      <c r="F84" t="s">
        <v>88</v>
      </c>
      <c r="G84" t="s">
        <v>201</v>
      </c>
      <c r="I84" t="s">
        <v>890</v>
      </c>
      <c r="J84" t="s">
        <v>297</v>
      </c>
      <c r="K84" t="s">
        <v>956</v>
      </c>
      <c r="L84" t="s">
        <v>937</v>
      </c>
    </row>
    <row r="85" spans="1:12" x14ac:dyDescent="0.35">
      <c r="A85" t="s">
        <v>70</v>
      </c>
      <c r="B85" t="s">
        <v>172</v>
      </c>
      <c r="C85" t="s">
        <v>345</v>
      </c>
      <c r="D85" t="s">
        <v>346</v>
      </c>
      <c r="E85" t="s">
        <v>347</v>
      </c>
      <c r="F85" t="s">
        <v>88</v>
      </c>
      <c r="G85" t="s">
        <v>201</v>
      </c>
      <c r="I85" t="s">
        <v>891</v>
      </c>
      <c r="J85" t="s">
        <v>297</v>
      </c>
      <c r="K85" t="s">
        <v>956</v>
      </c>
      <c r="L85" t="s">
        <v>937</v>
      </c>
    </row>
    <row r="86" spans="1:12" x14ac:dyDescent="0.35">
      <c r="A86" t="s">
        <v>70</v>
      </c>
      <c r="B86" t="s">
        <v>172</v>
      </c>
      <c r="C86" t="s">
        <v>348</v>
      </c>
      <c r="D86" t="s">
        <v>349</v>
      </c>
      <c r="E86" t="s">
        <v>343</v>
      </c>
      <c r="F86" t="s">
        <v>88</v>
      </c>
      <c r="G86" t="s">
        <v>221</v>
      </c>
      <c r="K86" t="s">
        <v>799</v>
      </c>
      <c r="L86" t="s">
        <v>937</v>
      </c>
    </row>
    <row r="87" spans="1:12" x14ac:dyDescent="0.35">
      <c r="A87" t="s">
        <v>70</v>
      </c>
      <c r="B87" t="s">
        <v>172</v>
      </c>
      <c r="C87" t="s">
        <v>350</v>
      </c>
      <c r="D87" t="s">
        <v>351</v>
      </c>
      <c r="E87" t="s">
        <v>88</v>
      </c>
      <c r="F87" t="s">
        <v>73</v>
      </c>
      <c r="G87" t="s">
        <v>203</v>
      </c>
      <c r="I87" t="s">
        <v>352</v>
      </c>
      <c r="J87" t="s">
        <v>327</v>
      </c>
      <c r="L87" t="s">
        <v>937</v>
      </c>
    </row>
    <row r="88" spans="1:12" x14ac:dyDescent="0.35">
      <c r="A88" t="s">
        <v>70</v>
      </c>
      <c r="B88" t="s">
        <v>172</v>
      </c>
      <c r="C88" t="s">
        <v>353</v>
      </c>
      <c r="D88" t="s">
        <v>354</v>
      </c>
      <c r="E88" t="s">
        <v>73</v>
      </c>
      <c r="F88" t="s">
        <v>73</v>
      </c>
      <c r="G88" t="s">
        <v>175</v>
      </c>
      <c r="I88" t="s">
        <v>355</v>
      </c>
      <c r="J88" t="s">
        <v>170</v>
      </c>
      <c r="L88" t="s">
        <v>937</v>
      </c>
    </row>
    <row r="89" spans="1:12" x14ac:dyDescent="0.35">
      <c r="A89" t="s">
        <v>70</v>
      </c>
      <c r="B89" t="s">
        <v>172</v>
      </c>
      <c r="C89" t="s">
        <v>356</v>
      </c>
      <c r="D89" t="s">
        <v>357</v>
      </c>
      <c r="F89" t="s">
        <v>73</v>
      </c>
      <c r="G89" t="s">
        <v>29</v>
      </c>
      <c r="L89" t="s">
        <v>937</v>
      </c>
    </row>
    <row r="90" spans="1:12" x14ac:dyDescent="0.35">
      <c r="A90" t="s">
        <v>70</v>
      </c>
      <c r="B90" t="s">
        <v>172</v>
      </c>
      <c r="C90" t="s">
        <v>358</v>
      </c>
      <c r="D90" t="s">
        <v>359</v>
      </c>
      <c r="E90" t="s">
        <v>88</v>
      </c>
      <c r="F90" t="s">
        <v>308</v>
      </c>
      <c r="G90" t="s">
        <v>203</v>
      </c>
      <c r="L90" t="s">
        <v>937</v>
      </c>
    </row>
    <row r="91" spans="1:12" x14ac:dyDescent="0.35">
      <c r="A91" t="s">
        <v>70</v>
      </c>
      <c r="B91" t="s">
        <v>172</v>
      </c>
      <c r="C91" t="s">
        <v>360</v>
      </c>
      <c r="D91" t="s">
        <v>361</v>
      </c>
      <c r="E91" t="s">
        <v>88</v>
      </c>
      <c r="F91" t="s">
        <v>308</v>
      </c>
      <c r="G91" t="s">
        <v>175</v>
      </c>
      <c r="L91" t="s">
        <v>937</v>
      </c>
    </row>
    <row r="92" spans="1:12" x14ac:dyDescent="0.35">
      <c r="A92" t="s">
        <v>70</v>
      </c>
      <c r="B92" t="s">
        <v>172</v>
      </c>
      <c r="C92" t="s">
        <v>362</v>
      </c>
      <c r="D92" t="s">
        <v>363</v>
      </c>
      <c r="E92" t="s">
        <v>88</v>
      </c>
      <c r="F92" t="s">
        <v>308</v>
      </c>
      <c r="G92" t="s">
        <v>175</v>
      </c>
      <c r="L92" t="s">
        <v>937</v>
      </c>
    </row>
    <row r="93" spans="1:12" x14ac:dyDescent="0.35">
      <c r="A93" t="s">
        <v>70</v>
      </c>
      <c r="B93" t="s">
        <v>172</v>
      </c>
      <c r="C93" t="s">
        <v>364</v>
      </c>
      <c r="D93" t="s">
        <v>365</v>
      </c>
      <c r="E93" t="s">
        <v>88</v>
      </c>
      <c r="F93" t="s">
        <v>308</v>
      </c>
      <c r="G93" t="s">
        <v>203</v>
      </c>
      <c r="L93" t="s">
        <v>937</v>
      </c>
    </row>
    <row r="94" spans="1:12" x14ac:dyDescent="0.35">
      <c r="A94" t="s">
        <v>70</v>
      </c>
      <c r="B94" t="s">
        <v>172</v>
      </c>
      <c r="C94" t="s">
        <v>366</v>
      </c>
      <c r="D94" t="s">
        <v>367</v>
      </c>
      <c r="E94" t="s">
        <v>88</v>
      </c>
      <c r="F94" t="s">
        <v>308</v>
      </c>
      <c r="G94" t="s">
        <v>33</v>
      </c>
      <c r="L94" t="s">
        <v>937</v>
      </c>
    </row>
    <row r="95" spans="1:12" x14ac:dyDescent="0.35">
      <c r="A95" t="s">
        <v>95</v>
      </c>
      <c r="B95" t="s">
        <v>172</v>
      </c>
      <c r="C95" t="s">
        <v>957</v>
      </c>
      <c r="D95" t="s">
        <v>958</v>
      </c>
      <c r="F95" t="s">
        <v>106</v>
      </c>
      <c r="G95" t="s">
        <v>29</v>
      </c>
      <c r="I95" t="s">
        <v>959</v>
      </c>
      <c r="J95" t="s">
        <v>171</v>
      </c>
      <c r="K95" t="s">
        <v>806</v>
      </c>
      <c r="L95" t="s">
        <v>937</v>
      </c>
    </row>
    <row r="96" spans="1:12" x14ac:dyDescent="0.35">
      <c r="A96" t="s">
        <v>95</v>
      </c>
      <c r="B96" t="s">
        <v>172</v>
      </c>
      <c r="C96" t="s">
        <v>892</v>
      </c>
      <c r="D96" t="s">
        <v>893</v>
      </c>
      <c r="F96" t="s">
        <v>106</v>
      </c>
      <c r="G96" t="s">
        <v>29</v>
      </c>
      <c r="K96" t="s">
        <v>806</v>
      </c>
      <c r="L96" t="s">
        <v>937</v>
      </c>
    </row>
    <row r="97" spans="1:12" x14ac:dyDescent="0.35">
      <c r="A97" t="s">
        <v>95</v>
      </c>
      <c r="B97" t="s">
        <v>172</v>
      </c>
      <c r="C97" t="s">
        <v>368</v>
      </c>
      <c r="D97" t="s">
        <v>369</v>
      </c>
      <c r="E97" t="s">
        <v>370</v>
      </c>
      <c r="F97" t="s">
        <v>106</v>
      </c>
      <c r="G97" t="s">
        <v>221</v>
      </c>
      <c r="I97" t="s">
        <v>894</v>
      </c>
      <c r="J97" t="s">
        <v>168</v>
      </c>
      <c r="K97" t="s">
        <v>803</v>
      </c>
      <c r="L97" t="s">
        <v>937</v>
      </c>
    </row>
    <row r="98" spans="1:12" x14ac:dyDescent="0.35">
      <c r="A98" t="s">
        <v>95</v>
      </c>
      <c r="B98" t="s">
        <v>172</v>
      </c>
      <c r="C98" t="s">
        <v>368</v>
      </c>
      <c r="D98" t="s">
        <v>369</v>
      </c>
      <c r="E98" t="s">
        <v>370</v>
      </c>
      <c r="F98" t="s">
        <v>106</v>
      </c>
      <c r="G98" t="s">
        <v>221</v>
      </c>
      <c r="I98" t="s">
        <v>895</v>
      </c>
      <c r="J98" t="s">
        <v>168</v>
      </c>
      <c r="K98" t="s">
        <v>803</v>
      </c>
      <c r="L98" t="s">
        <v>937</v>
      </c>
    </row>
    <row r="99" spans="1:12" x14ac:dyDescent="0.35">
      <c r="A99" t="s">
        <v>95</v>
      </c>
      <c r="B99" t="s">
        <v>172</v>
      </c>
      <c r="C99" t="s">
        <v>371</v>
      </c>
      <c r="D99" t="s">
        <v>372</v>
      </c>
      <c r="E99" t="s">
        <v>373</v>
      </c>
      <c r="F99" t="s">
        <v>109</v>
      </c>
      <c r="G99" t="s">
        <v>52</v>
      </c>
      <c r="I99" t="s">
        <v>374</v>
      </c>
      <c r="J99" t="s">
        <v>168</v>
      </c>
      <c r="K99" t="s">
        <v>803</v>
      </c>
      <c r="L99" t="s">
        <v>937</v>
      </c>
    </row>
    <row r="100" spans="1:12" x14ac:dyDescent="0.35">
      <c r="A100" t="s">
        <v>95</v>
      </c>
      <c r="B100" t="s">
        <v>172</v>
      </c>
      <c r="C100" t="s">
        <v>375</v>
      </c>
      <c r="D100" t="s">
        <v>376</v>
      </c>
      <c r="E100" t="s">
        <v>370</v>
      </c>
      <c r="F100" t="s">
        <v>109</v>
      </c>
      <c r="G100" t="s">
        <v>221</v>
      </c>
      <c r="I100" t="s">
        <v>377</v>
      </c>
      <c r="J100" t="s">
        <v>170</v>
      </c>
      <c r="K100" t="s">
        <v>804</v>
      </c>
      <c r="L100" t="s">
        <v>937</v>
      </c>
    </row>
    <row r="101" spans="1:12" x14ac:dyDescent="0.35">
      <c r="A101" t="s">
        <v>95</v>
      </c>
      <c r="B101" t="s">
        <v>172</v>
      </c>
      <c r="C101" t="s">
        <v>378</v>
      </c>
      <c r="D101" t="s">
        <v>379</v>
      </c>
      <c r="F101" t="s">
        <v>109</v>
      </c>
      <c r="G101" t="s">
        <v>175</v>
      </c>
      <c r="K101" t="s">
        <v>805</v>
      </c>
      <c r="L101" t="s">
        <v>937</v>
      </c>
    </row>
    <row r="102" spans="1:12" x14ac:dyDescent="0.35">
      <c r="A102" t="s">
        <v>95</v>
      </c>
      <c r="B102" t="s">
        <v>172</v>
      </c>
      <c r="C102" t="s">
        <v>380</v>
      </c>
      <c r="D102" t="s">
        <v>381</v>
      </c>
      <c r="F102" t="s">
        <v>370</v>
      </c>
      <c r="G102" t="s">
        <v>29</v>
      </c>
      <c r="I102" t="s">
        <v>382</v>
      </c>
      <c r="J102" t="s">
        <v>170</v>
      </c>
      <c r="K102" t="s">
        <v>809</v>
      </c>
      <c r="L102" t="s">
        <v>937</v>
      </c>
    </row>
    <row r="103" spans="1:12" x14ac:dyDescent="0.35">
      <c r="A103" t="s">
        <v>95</v>
      </c>
      <c r="B103" t="s">
        <v>172</v>
      </c>
      <c r="C103" t="s">
        <v>383</v>
      </c>
      <c r="D103" t="s">
        <v>384</v>
      </c>
      <c r="E103" t="s">
        <v>896</v>
      </c>
      <c r="F103" t="s">
        <v>112</v>
      </c>
      <c r="G103" t="s">
        <v>221</v>
      </c>
      <c r="K103" t="s">
        <v>807</v>
      </c>
      <c r="L103" t="s">
        <v>937</v>
      </c>
    </row>
    <row r="104" spans="1:12" x14ac:dyDescent="0.35">
      <c r="A104" t="s">
        <v>95</v>
      </c>
      <c r="B104" t="s">
        <v>172</v>
      </c>
      <c r="C104" t="s">
        <v>386</v>
      </c>
      <c r="D104" t="s">
        <v>387</v>
      </c>
      <c r="F104" t="s">
        <v>388</v>
      </c>
      <c r="G104" t="s">
        <v>243</v>
      </c>
      <c r="L104" t="s">
        <v>937</v>
      </c>
    </row>
    <row r="105" spans="1:12" x14ac:dyDescent="0.35">
      <c r="A105" t="s">
        <v>95</v>
      </c>
      <c r="B105" t="s">
        <v>172</v>
      </c>
      <c r="C105" t="s">
        <v>389</v>
      </c>
      <c r="D105" t="s">
        <v>390</v>
      </c>
      <c r="E105" t="s">
        <v>391</v>
      </c>
      <c r="F105" t="s">
        <v>112</v>
      </c>
      <c r="G105" t="s">
        <v>221</v>
      </c>
      <c r="I105" t="s">
        <v>392</v>
      </c>
      <c r="J105" t="s">
        <v>168</v>
      </c>
      <c r="K105" t="s">
        <v>803</v>
      </c>
      <c r="L105" t="s">
        <v>937</v>
      </c>
    </row>
    <row r="106" spans="1:12" x14ac:dyDescent="0.35">
      <c r="A106" t="s">
        <v>95</v>
      </c>
      <c r="B106" t="s">
        <v>172</v>
      </c>
      <c r="C106" t="s">
        <v>393</v>
      </c>
      <c r="D106" t="s">
        <v>394</v>
      </c>
      <c r="E106" t="s">
        <v>385</v>
      </c>
      <c r="F106" t="s">
        <v>112</v>
      </c>
      <c r="G106" t="s">
        <v>221</v>
      </c>
      <c r="K106" t="s">
        <v>808</v>
      </c>
      <c r="L106" t="s">
        <v>937</v>
      </c>
    </row>
    <row r="107" spans="1:12" x14ac:dyDescent="0.35">
      <c r="A107" t="s">
        <v>95</v>
      </c>
      <c r="B107" t="s">
        <v>172</v>
      </c>
      <c r="C107" t="s">
        <v>395</v>
      </c>
      <c r="D107" t="s">
        <v>396</v>
      </c>
      <c r="E107" t="s">
        <v>391</v>
      </c>
      <c r="F107" t="s">
        <v>397</v>
      </c>
      <c r="G107" t="s">
        <v>29</v>
      </c>
      <c r="K107" t="s">
        <v>806</v>
      </c>
      <c r="L107" t="s">
        <v>937</v>
      </c>
    </row>
    <row r="108" spans="1:12" x14ac:dyDescent="0.35">
      <c r="A108" t="s">
        <v>95</v>
      </c>
      <c r="B108" t="s">
        <v>172</v>
      </c>
      <c r="C108" t="s">
        <v>398</v>
      </c>
      <c r="D108" t="s">
        <v>399</v>
      </c>
      <c r="F108" t="s">
        <v>397</v>
      </c>
      <c r="G108" t="s">
        <v>243</v>
      </c>
      <c r="I108" t="s">
        <v>400</v>
      </c>
      <c r="J108" t="s">
        <v>297</v>
      </c>
      <c r="K108" t="s">
        <v>805</v>
      </c>
      <c r="L108" t="s">
        <v>937</v>
      </c>
    </row>
    <row r="109" spans="1:12" x14ac:dyDescent="0.35">
      <c r="A109" t="s">
        <v>95</v>
      </c>
      <c r="B109" t="s">
        <v>172</v>
      </c>
      <c r="C109" t="s">
        <v>401</v>
      </c>
      <c r="D109" t="s">
        <v>402</v>
      </c>
      <c r="F109" t="s">
        <v>397</v>
      </c>
      <c r="G109" t="s">
        <v>29</v>
      </c>
      <c r="I109" t="s">
        <v>897</v>
      </c>
      <c r="J109" t="s">
        <v>297</v>
      </c>
      <c r="K109" t="s">
        <v>805</v>
      </c>
      <c r="L109" t="s">
        <v>937</v>
      </c>
    </row>
    <row r="110" spans="1:12" x14ac:dyDescent="0.35">
      <c r="A110" t="s">
        <v>95</v>
      </c>
      <c r="B110" t="s">
        <v>172</v>
      </c>
      <c r="C110" t="s">
        <v>401</v>
      </c>
      <c r="D110" t="s">
        <v>402</v>
      </c>
      <c r="F110" t="s">
        <v>397</v>
      </c>
      <c r="G110" t="s">
        <v>29</v>
      </c>
      <c r="I110" t="s">
        <v>898</v>
      </c>
      <c r="J110" t="s">
        <v>297</v>
      </c>
      <c r="K110" t="s">
        <v>805</v>
      </c>
      <c r="L110" t="s">
        <v>937</v>
      </c>
    </row>
    <row r="111" spans="1:12" x14ac:dyDescent="0.35">
      <c r="A111" t="s">
        <v>95</v>
      </c>
      <c r="B111" t="s">
        <v>172</v>
      </c>
      <c r="C111" t="s">
        <v>401</v>
      </c>
      <c r="D111" t="s">
        <v>402</v>
      </c>
      <c r="F111" t="s">
        <v>397</v>
      </c>
      <c r="G111" t="s">
        <v>29</v>
      </c>
      <c r="I111" t="s">
        <v>899</v>
      </c>
      <c r="J111" t="s">
        <v>171</v>
      </c>
      <c r="K111" t="s">
        <v>805</v>
      </c>
      <c r="L111" t="s">
        <v>937</v>
      </c>
    </row>
    <row r="112" spans="1:12" x14ac:dyDescent="0.35">
      <c r="A112" t="s">
        <v>95</v>
      </c>
      <c r="B112" t="s">
        <v>172</v>
      </c>
      <c r="C112" t="s">
        <v>401</v>
      </c>
      <c r="D112" t="s">
        <v>402</v>
      </c>
      <c r="F112" t="s">
        <v>397</v>
      </c>
      <c r="G112" t="s">
        <v>29</v>
      </c>
      <c r="I112" t="s">
        <v>900</v>
      </c>
      <c r="J112" t="s">
        <v>171</v>
      </c>
      <c r="K112" t="s">
        <v>805</v>
      </c>
      <c r="L112" t="s">
        <v>937</v>
      </c>
    </row>
    <row r="113" spans="1:12" x14ac:dyDescent="0.35">
      <c r="A113" t="s">
        <v>95</v>
      </c>
      <c r="B113" t="s">
        <v>172</v>
      </c>
      <c r="C113" t="s">
        <v>401</v>
      </c>
      <c r="D113" t="s">
        <v>402</v>
      </c>
      <c r="F113" t="s">
        <v>397</v>
      </c>
      <c r="G113" t="s">
        <v>29</v>
      </c>
      <c r="I113" t="s">
        <v>901</v>
      </c>
      <c r="J113" t="s">
        <v>171</v>
      </c>
      <c r="K113" t="s">
        <v>805</v>
      </c>
      <c r="L113" t="s">
        <v>937</v>
      </c>
    </row>
    <row r="114" spans="1:12" x14ac:dyDescent="0.35">
      <c r="A114" t="s">
        <v>95</v>
      </c>
      <c r="B114" t="s">
        <v>172</v>
      </c>
      <c r="C114" t="s">
        <v>401</v>
      </c>
      <c r="D114" t="s">
        <v>402</v>
      </c>
      <c r="F114" t="s">
        <v>397</v>
      </c>
      <c r="G114" t="s">
        <v>29</v>
      </c>
      <c r="I114" t="s">
        <v>902</v>
      </c>
      <c r="J114" t="s">
        <v>171</v>
      </c>
      <c r="K114" t="s">
        <v>805</v>
      </c>
      <c r="L114" t="s">
        <v>937</v>
      </c>
    </row>
    <row r="115" spans="1:12" x14ac:dyDescent="0.35">
      <c r="A115" t="s">
        <v>95</v>
      </c>
      <c r="B115" t="s">
        <v>172</v>
      </c>
      <c r="C115" t="s">
        <v>403</v>
      </c>
      <c r="D115" t="s">
        <v>404</v>
      </c>
      <c r="F115" t="s">
        <v>388</v>
      </c>
      <c r="G115" t="s">
        <v>243</v>
      </c>
      <c r="L115" t="s">
        <v>937</v>
      </c>
    </row>
    <row r="116" spans="1:12" x14ac:dyDescent="0.35">
      <c r="A116" t="s">
        <v>95</v>
      </c>
      <c r="B116" t="s">
        <v>172</v>
      </c>
      <c r="C116" t="s">
        <v>405</v>
      </c>
      <c r="D116" t="s">
        <v>406</v>
      </c>
      <c r="F116" t="s">
        <v>388</v>
      </c>
      <c r="G116" t="s">
        <v>29</v>
      </c>
      <c r="L116" t="s">
        <v>937</v>
      </c>
    </row>
    <row r="117" spans="1:12" x14ac:dyDescent="0.35">
      <c r="A117" t="s">
        <v>95</v>
      </c>
      <c r="B117" t="s">
        <v>172</v>
      </c>
      <c r="C117" t="s">
        <v>407</v>
      </c>
      <c r="D117" t="s">
        <v>408</v>
      </c>
      <c r="F117" t="s">
        <v>112</v>
      </c>
      <c r="G117" t="s">
        <v>29</v>
      </c>
      <c r="I117" t="s">
        <v>486</v>
      </c>
      <c r="J117" t="s">
        <v>297</v>
      </c>
      <c r="K117" t="s">
        <v>805</v>
      </c>
      <c r="L117" t="s">
        <v>937</v>
      </c>
    </row>
    <row r="118" spans="1:12" x14ac:dyDescent="0.35">
      <c r="A118" t="s">
        <v>95</v>
      </c>
      <c r="B118" t="s">
        <v>172</v>
      </c>
      <c r="C118" t="s">
        <v>407</v>
      </c>
      <c r="D118" t="s">
        <v>408</v>
      </c>
      <c r="F118" t="s">
        <v>112</v>
      </c>
      <c r="G118" t="s">
        <v>29</v>
      </c>
      <c r="I118" t="s">
        <v>903</v>
      </c>
      <c r="J118" t="s">
        <v>297</v>
      </c>
      <c r="K118" t="s">
        <v>805</v>
      </c>
      <c r="L118" t="s">
        <v>937</v>
      </c>
    </row>
    <row r="119" spans="1:12" x14ac:dyDescent="0.35">
      <c r="A119" t="s">
        <v>95</v>
      </c>
      <c r="B119" t="s">
        <v>172</v>
      </c>
      <c r="C119" t="s">
        <v>407</v>
      </c>
      <c r="D119" t="s">
        <v>408</v>
      </c>
      <c r="F119" t="s">
        <v>112</v>
      </c>
      <c r="G119" t="s">
        <v>29</v>
      </c>
      <c r="I119" t="s">
        <v>904</v>
      </c>
      <c r="J119" t="s">
        <v>297</v>
      </c>
      <c r="K119" t="s">
        <v>805</v>
      </c>
      <c r="L119" t="s">
        <v>937</v>
      </c>
    </row>
    <row r="120" spans="1:12" x14ac:dyDescent="0.35">
      <c r="A120" t="s">
        <v>95</v>
      </c>
      <c r="B120" t="s">
        <v>172</v>
      </c>
      <c r="C120" t="s">
        <v>407</v>
      </c>
      <c r="D120" t="s">
        <v>408</v>
      </c>
      <c r="F120" t="s">
        <v>112</v>
      </c>
      <c r="G120" t="s">
        <v>29</v>
      </c>
      <c r="I120" t="s">
        <v>905</v>
      </c>
      <c r="J120" t="s">
        <v>297</v>
      </c>
      <c r="K120" t="s">
        <v>805</v>
      </c>
      <c r="L120" t="s">
        <v>937</v>
      </c>
    </row>
    <row r="121" spans="1:12" x14ac:dyDescent="0.35">
      <c r="A121" t="s">
        <v>95</v>
      </c>
      <c r="B121" t="s">
        <v>172</v>
      </c>
      <c r="C121" t="s">
        <v>407</v>
      </c>
      <c r="D121" t="s">
        <v>408</v>
      </c>
      <c r="F121" t="s">
        <v>112</v>
      </c>
      <c r="G121" t="s">
        <v>29</v>
      </c>
      <c r="I121" t="s">
        <v>906</v>
      </c>
      <c r="J121" t="s">
        <v>297</v>
      </c>
      <c r="K121" t="s">
        <v>805</v>
      </c>
      <c r="L121" t="s">
        <v>937</v>
      </c>
    </row>
    <row r="122" spans="1:12" x14ac:dyDescent="0.35">
      <c r="A122" t="s">
        <v>95</v>
      </c>
      <c r="B122" t="s">
        <v>172</v>
      </c>
      <c r="C122" t="s">
        <v>407</v>
      </c>
      <c r="D122" t="s">
        <v>408</v>
      </c>
      <c r="F122" t="s">
        <v>112</v>
      </c>
      <c r="G122" t="s">
        <v>29</v>
      </c>
      <c r="I122" t="s">
        <v>907</v>
      </c>
      <c r="J122" t="s">
        <v>297</v>
      </c>
      <c r="K122" t="s">
        <v>805</v>
      </c>
      <c r="L122" t="s">
        <v>937</v>
      </c>
    </row>
    <row r="123" spans="1:12" x14ac:dyDescent="0.35">
      <c r="A123" t="s">
        <v>95</v>
      </c>
      <c r="B123" t="s">
        <v>172</v>
      </c>
      <c r="C123" t="s">
        <v>407</v>
      </c>
      <c r="D123" t="s">
        <v>408</v>
      </c>
      <c r="F123" t="s">
        <v>112</v>
      </c>
      <c r="G123" t="s">
        <v>29</v>
      </c>
      <c r="I123" t="s">
        <v>462</v>
      </c>
      <c r="J123" t="s">
        <v>297</v>
      </c>
      <c r="K123" t="s">
        <v>805</v>
      </c>
      <c r="L123" t="s">
        <v>937</v>
      </c>
    </row>
    <row r="124" spans="1:12" x14ac:dyDescent="0.35">
      <c r="A124" t="s">
        <v>95</v>
      </c>
      <c r="B124" t="s">
        <v>172</v>
      </c>
      <c r="C124" t="s">
        <v>407</v>
      </c>
      <c r="D124" t="s">
        <v>408</v>
      </c>
      <c r="F124" t="s">
        <v>112</v>
      </c>
      <c r="G124" t="s">
        <v>29</v>
      </c>
      <c r="I124" t="s">
        <v>413</v>
      </c>
      <c r="J124" t="s">
        <v>297</v>
      </c>
      <c r="K124" t="s">
        <v>805</v>
      </c>
      <c r="L124" t="s">
        <v>937</v>
      </c>
    </row>
    <row r="125" spans="1:12" x14ac:dyDescent="0.35">
      <c r="A125" t="s">
        <v>95</v>
      </c>
      <c r="B125" t="s">
        <v>172</v>
      </c>
      <c r="C125" t="s">
        <v>409</v>
      </c>
      <c r="D125" t="s">
        <v>410</v>
      </c>
      <c r="F125" t="s">
        <v>112</v>
      </c>
      <c r="G125" t="s">
        <v>29</v>
      </c>
      <c r="K125" t="s">
        <v>805</v>
      </c>
      <c r="L125" t="s">
        <v>937</v>
      </c>
    </row>
    <row r="126" spans="1:12" x14ac:dyDescent="0.35">
      <c r="A126" t="s">
        <v>95</v>
      </c>
      <c r="B126" t="s">
        <v>172</v>
      </c>
      <c r="C126" t="s">
        <v>411</v>
      </c>
      <c r="D126" t="s">
        <v>412</v>
      </c>
      <c r="E126" t="s">
        <v>385</v>
      </c>
      <c r="F126" t="s">
        <v>112</v>
      </c>
      <c r="G126" t="s">
        <v>29</v>
      </c>
      <c r="I126" t="s">
        <v>908</v>
      </c>
      <c r="J126" t="s">
        <v>297</v>
      </c>
      <c r="K126" t="s">
        <v>806</v>
      </c>
      <c r="L126" t="s">
        <v>937</v>
      </c>
    </row>
    <row r="127" spans="1:12" x14ac:dyDescent="0.35">
      <c r="A127" t="s">
        <v>95</v>
      </c>
      <c r="B127" t="s">
        <v>172</v>
      </c>
      <c r="C127" t="s">
        <v>411</v>
      </c>
      <c r="D127" t="s">
        <v>412</v>
      </c>
      <c r="E127" t="s">
        <v>385</v>
      </c>
      <c r="F127" t="s">
        <v>112</v>
      </c>
      <c r="G127" t="s">
        <v>29</v>
      </c>
      <c r="I127" t="s">
        <v>909</v>
      </c>
      <c r="J127" t="s">
        <v>297</v>
      </c>
      <c r="K127" t="s">
        <v>806</v>
      </c>
      <c r="L127" t="s">
        <v>937</v>
      </c>
    </row>
    <row r="128" spans="1:12" x14ac:dyDescent="0.35">
      <c r="A128" t="s">
        <v>95</v>
      </c>
      <c r="B128" t="s">
        <v>172</v>
      </c>
      <c r="C128" t="s">
        <v>411</v>
      </c>
      <c r="D128" t="s">
        <v>412</v>
      </c>
      <c r="E128" t="s">
        <v>385</v>
      </c>
      <c r="F128" t="s">
        <v>112</v>
      </c>
      <c r="G128" t="s">
        <v>29</v>
      </c>
      <c r="I128" t="s">
        <v>910</v>
      </c>
      <c r="J128" t="s">
        <v>171</v>
      </c>
      <c r="K128" t="s">
        <v>806</v>
      </c>
      <c r="L128" t="s">
        <v>937</v>
      </c>
    </row>
    <row r="129" spans="1:12" x14ac:dyDescent="0.35">
      <c r="A129" t="s">
        <v>95</v>
      </c>
      <c r="B129" t="s">
        <v>172</v>
      </c>
      <c r="C129" t="s">
        <v>413</v>
      </c>
      <c r="D129" t="s">
        <v>414</v>
      </c>
      <c r="E129" t="s">
        <v>896</v>
      </c>
      <c r="F129" t="s">
        <v>397</v>
      </c>
      <c r="G129" t="s">
        <v>29</v>
      </c>
      <c r="I129" t="s">
        <v>407</v>
      </c>
      <c r="J129" t="s">
        <v>171</v>
      </c>
      <c r="K129" t="s">
        <v>806</v>
      </c>
      <c r="L129" t="s">
        <v>937</v>
      </c>
    </row>
    <row r="130" spans="1:12" x14ac:dyDescent="0.35">
      <c r="A130" t="s">
        <v>95</v>
      </c>
      <c r="B130" t="s">
        <v>172</v>
      </c>
      <c r="C130" t="s">
        <v>415</v>
      </c>
      <c r="D130" t="s">
        <v>416</v>
      </c>
      <c r="F130" t="s">
        <v>106</v>
      </c>
      <c r="G130" t="s">
        <v>29</v>
      </c>
      <c r="I130" t="s">
        <v>460</v>
      </c>
      <c r="J130" t="s">
        <v>297</v>
      </c>
      <c r="K130" t="s">
        <v>809</v>
      </c>
      <c r="L130" t="s">
        <v>937</v>
      </c>
    </row>
    <row r="131" spans="1:12" x14ac:dyDescent="0.35">
      <c r="A131" t="s">
        <v>95</v>
      </c>
      <c r="B131" t="s">
        <v>172</v>
      </c>
      <c r="C131" t="s">
        <v>417</v>
      </c>
      <c r="D131" t="s">
        <v>960</v>
      </c>
      <c r="F131" t="s">
        <v>106</v>
      </c>
      <c r="G131" t="s">
        <v>33</v>
      </c>
      <c r="I131" t="s">
        <v>426</v>
      </c>
      <c r="J131" t="s">
        <v>297</v>
      </c>
      <c r="L131" t="s">
        <v>939</v>
      </c>
    </row>
    <row r="132" spans="1:12" x14ac:dyDescent="0.35">
      <c r="A132" t="s">
        <v>95</v>
      </c>
      <c r="B132" t="s">
        <v>172</v>
      </c>
      <c r="C132" t="s">
        <v>417</v>
      </c>
      <c r="D132" t="s">
        <v>960</v>
      </c>
      <c r="F132" t="s">
        <v>106</v>
      </c>
      <c r="G132" t="s">
        <v>33</v>
      </c>
      <c r="I132" t="s">
        <v>418</v>
      </c>
      <c r="J132" t="s">
        <v>297</v>
      </c>
      <c r="L132" t="s">
        <v>939</v>
      </c>
    </row>
    <row r="133" spans="1:12" x14ac:dyDescent="0.35">
      <c r="A133" t="s">
        <v>95</v>
      </c>
      <c r="B133" t="s">
        <v>172</v>
      </c>
      <c r="C133" t="s">
        <v>418</v>
      </c>
      <c r="D133" t="s">
        <v>961</v>
      </c>
      <c r="F133" t="s">
        <v>106</v>
      </c>
      <c r="G133" t="s">
        <v>33</v>
      </c>
      <c r="I133" t="s">
        <v>426</v>
      </c>
      <c r="J133" t="s">
        <v>297</v>
      </c>
      <c r="L133" t="s">
        <v>939</v>
      </c>
    </row>
    <row r="134" spans="1:12" x14ac:dyDescent="0.35">
      <c r="A134" t="s">
        <v>95</v>
      </c>
      <c r="B134" t="s">
        <v>172</v>
      </c>
      <c r="C134" t="s">
        <v>418</v>
      </c>
      <c r="D134" t="s">
        <v>961</v>
      </c>
      <c r="F134" t="s">
        <v>106</v>
      </c>
      <c r="G134" t="s">
        <v>33</v>
      </c>
      <c r="I134" t="s">
        <v>417</v>
      </c>
      <c r="J134" t="s">
        <v>171</v>
      </c>
      <c r="L134" t="s">
        <v>939</v>
      </c>
    </row>
    <row r="135" spans="1:12" x14ac:dyDescent="0.35">
      <c r="A135" t="s">
        <v>95</v>
      </c>
      <c r="B135" t="s">
        <v>172</v>
      </c>
      <c r="C135" t="s">
        <v>419</v>
      </c>
      <c r="D135" t="s">
        <v>962</v>
      </c>
      <c r="F135" t="s">
        <v>106</v>
      </c>
      <c r="G135" t="s">
        <v>33</v>
      </c>
      <c r="L135" t="s">
        <v>939</v>
      </c>
    </row>
    <row r="136" spans="1:12" x14ac:dyDescent="0.35">
      <c r="A136" t="s">
        <v>95</v>
      </c>
      <c r="B136" t="s">
        <v>172</v>
      </c>
      <c r="C136" t="s">
        <v>421</v>
      </c>
      <c r="D136" t="s">
        <v>963</v>
      </c>
      <c r="F136" t="s">
        <v>106</v>
      </c>
      <c r="G136" t="s">
        <v>33</v>
      </c>
      <c r="I136" t="s">
        <v>427</v>
      </c>
      <c r="J136" t="s">
        <v>297</v>
      </c>
      <c r="L136" t="s">
        <v>937</v>
      </c>
    </row>
    <row r="137" spans="1:12" x14ac:dyDescent="0.35">
      <c r="A137" t="s">
        <v>95</v>
      </c>
      <c r="B137" t="s">
        <v>172</v>
      </c>
      <c r="C137" t="s">
        <v>421</v>
      </c>
      <c r="D137" t="s">
        <v>963</v>
      </c>
      <c r="F137" t="s">
        <v>106</v>
      </c>
      <c r="G137" t="s">
        <v>33</v>
      </c>
      <c r="I137" t="s">
        <v>914</v>
      </c>
      <c r="J137" t="s">
        <v>422</v>
      </c>
      <c r="L137" t="s">
        <v>937</v>
      </c>
    </row>
    <row r="138" spans="1:12" x14ac:dyDescent="0.35">
      <c r="A138" t="s">
        <v>95</v>
      </c>
      <c r="B138" t="s">
        <v>172</v>
      </c>
      <c r="C138" t="s">
        <v>423</v>
      </c>
      <c r="D138" t="s">
        <v>964</v>
      </c>
      <c r="F138" t="s">
        <v>106</v>
      </c>
      <c r="G138" t="s">
        <v>175</v>
      </c>
      <c r="I138" t="s">
        <v>427</v>
      </c>
      <c r="J138" t="s">
        <v>297</v>
      </c>
      <c r="K138" t="s">
        <v>810</v>
      </c>
      <c r="L138" t="s">
        <v>937</v>
      </c>
    </row>
    <row r="139" spans="1:12" x14ac:dyDescent="0.35">
      <c r="A139" t="s">
        <v>95</v>
      </c>
      <c r="B139" t="s">
        <v>172</v>
      </c>
      <c r="C139" t="s">
        <v>423</v>
      </c>
      <c r="D139" t="s">
        <v>964</v>
      </c>
      <c r="F139" t="s">
        <v>106</v>
      </c>
      <c r="G139" t="s">
        <v>175</v>
      </c>
      <c r="I139" t="s">
        <v>916</v>
      </c>
      <c r="J139" t="s">
        <v>422</v>
      </c>
      <c r="K139" t="s">
        <v>810</v>
      </c>
      <c r="L139" t="s">
        <v>937</v>
      </c>
    </row>
    <row r="140" spans="1:12" x14ac:dyDescent="0.35">
      <c r="A140" t="s">
        <v>95</v>
      </c>
      <c r="B140" t="s">
        <v>172</v>
      </c>
      <c r="C140" t="s">
        <v>424</v>
      </c>
      <c r="D140" t="s">
        <v>965</v>
      </c>
      <c r="F140" t="s">
        <v>106</v>
      </c>
      <c r="G140" t="s">
        <v>29</v>
      </c>
      <c r="I140" t="s">
        <v>427</v>
      </c>
      <c r="J140" t="s">
        <v>297</v>
      </c>
      <c r="K140" t="s">
        <v>810</v>
      </c>
      <c r="L140" t="s">
        <v>937</v>
      </c>
    </row>
    <row r="141" spans="1:12" x14ac:dyDescent="0.35">
      <c r="A141" t="s">
        <v>95</v>
      </c>
      <c r="B141" t="s">
        <v>172</v>
      </c>
      <c r="C141" t="s">
        <v>424</v>
      </c>
      <c r="D141" t="s">
        <v>965</v>
      </c>
      <c r="F141" t="s">
        <v>106</v>
      </c>
      <c r="G141" t="s">
        <v>29</v>
      </c>
      <c r="I141" t="s">
        <v>917</v>
      </c>
      <c r="J141" t="s">
        <v>422</v>
      </c>
      <c r="K141" t="s">
        <v>810</v>
      </c>
      <c r="L141" t="s">
        <v>937</v>
      </c>
    </row>
    <row r="142" spans="1:12" x14ac:dyDescent="0.35">
      <c r="A142" t="s">
        <v>95</v>
      </c>
      <c r="B142" t="s">
        <v>172</v>
      </c>
      <c r="C142" t="s">
        <v>426</v>
      </c>
      <c r="D142" t="s">
        <v>966</v>
      </c>
      <c r="F142" t="s">
        <v>106</v>
      </c>
      <c r="G142" t="s">
        <v>33</v>
      </c>
      <c r="I142" t="s">
        <v>427</v>
      </c>
      <c r="J142" t="s">
        <v>297</v>
      </c>
      <c r="L142" t="s">
        <v>937</v>
      </c>
    </row>
    <row r="143" spans="1:12" x14ac:dyDescent="0.35">
      <c r="A143" t="s">
        <v>95</v>
      </c>
      <c r="B143" t="s">
        <v>172</v>
      </c>
      <c r="C143" t="s">
        <v>426</v>
      </c>
      <c r="D143" t="s">
        <v>966</v>
      </c>
      <c r="F143" t="s">
        <v>106</v>
      </c>
      <c r="G143" t="s">
        <v>33</v>
      </c>
      <c r="I143" t="s">
        <v>418</v>
      </c>
      <c r="J143" t="s">
        <v>171</v>
      </c>
      <c r="L143" t="s">
        <v>937</v>
      </c>
    </row>
    <row r="144" spans="1:12" x14ac:dyDescent="0.35">
      <c r="A144" t="s">
        <v>95</v>
      </c>
      <c r="B144" t="s">
        <v>172</v>
      </c>
      <c r="C144" t="s">
        <v>426</v>
      </c>
      <c r="D144" t="s">
        <v>966</v>
      </c>
      <c r="F144" t="s">
        <v>106</v>
      </c>
      <c r="G144" t="s">
        <v>33</v>
      </c>
      <c r="I144" t="s">
        <v>417</v>
      </c>
      <c r="J144" t="s">
        <v>171</v>
      </c>
      <c r="L144" t="s">
        <v>937</v>
      </c>
    </row>
    <row r="145" spans="1:12" x14ac:dyDescent="0.35">
      <c r="A145" t="s">
        <v>95</v>
      </c>
      <c r="B145" t="s">
        <v>172</v>
      </c>
      <c r="C145" t="s">
        <v>428</v>
      </c>
      <c r="D145" t="s">
        <v>429</v>
      </c>
      <c r="E145" t="s">
        <v>109</v>
      </c>
      <c r="F145" t="s">
        <v>109</v>
      </c>
      <c r="G145" t="s">
        <v>33</v>
      </c>
      <c r="K145" t="s">
        <v>806</v>
      </c>
      <c r="L145" t="s">
        <v>937</v>
      </c>
    </row>
    <row r="146" spans="1:12" x14ac:dyDescent="0.35">
      <c r="A146" t="s">
        <v>95</v>
      </c>
      <c r="B146" t="s">
        <v>172</v>
      </c>
      <c r="C146" t="s">
        <v>430</v>
      </c>
      <c r="D146" t="s">
        <v>431</v>
      </c>
      <c r="F146" t="s">
        <v>109</v>
      </c>
      <c r="G146" t="s">
        <v>29</v>
      </c>
      <c r="K146" t="s">
        <v>805</v>
      </c>
      <c r="L146" t="s">
        <v>937</v>
      </c>
    </row>
    <row r="147" spans="1:12" x14ac:dyDescent="0.35">
      <c r="A147" t="s">
        <v>95</v>
      </c>
      <c r="B147" t="s">
        <v>172</v>
      </c>
      <c r="C147" t="s">
        <v>432</v>
      </c>
      <c r="D147" t="s">
        <v>433</v>
      </c>
      <c r="E147" t="s">
        <v>109</v>
      </c>
      <c r="F147" t="s">
        <v>109</v>
      </c>
      <c r="G147" t="s">
        <v>33</v>
      </c>
      <c r="K147" t="s">
        <v>806</v>
      </c>
      <c r="L147" t="s">
        <v>937</v>
      </c>
    </row>
    <row r="148" spans="1:12" x14ac:dyDescent="0.35">
      <c r="A148" t="s">
        <v>95</v>
      </c>
      <c r="B148" t="s">
        <v>172</v>
      </c>
      <c r="C148" t="s">
        <v>434</v>
      </c>
      <c r="D148" t="s">
        <v>435</v>
      </c>
      <c r="F148" t="s">
        <v>106</v>
      </c>
      <c r="G148" t="s">
        <v>248</v>
      </c>
      <c r="K148" t="s">
        <v>809</v>
      </c>
      <c r="L148" t="s">
        <v>939</v>
      </c>
    </row>
    <row r="149" spans="1:12" x14ac:dyDescent="0.35">
      <c r="A149" t="s">
        <v>95</v>
      </c>
      <c r="B149" t="s">
        <v>172</v>
      </c>
      <c r="C149" t="s">
        <v>436</v>
      </c>
      <c r="D149" t="s">
        <v>437</v>
      </c>
      <c r="F149" t="s">
        <v>109</v>
      </c>
      <c r="G149" t="s">
        <v>29</v>
      </c>
      <c r="K149" t="s">
        <v>805</v>
      </c>
      <c r="L149" t="s">
        <v>937</v>
      </c>
    </row>
    <row r="150" spans="1:12" x14ac:dyDescent="0.35">
      <c r="A150" t="s">
        <v>95</v>
      </c>
      <c r="B150" t="s">
        <v>172</v>
      </c>
      <c r="C150" t="s">
        <v>438</v>
      </c>
      <c r="D150" t="s">
        <v>439</v>
      </c>
      <c r="F150" t="s">
        <v>109</v>
      </c>
      <c r="G150" t="s">
        <v>175</v>
      </c>
      <c r="K150" t="s">
        <v>805</v>
      </c>
      <c r="L150" t="s">
        <v>937</v>
      </c>
    </row>
    <row r="151" spans="1:12" x14ac:dyDescent="0.35">
      <c r="A151" t="s">
        <v>95</v>
      </c>
      <c r="B151" t="s">
        <v>172</v>
      </c>
      <c r="C151" t="s">
        <v>440</v>
      </c>
      <c r="D151" t="s">
        <v>441</v>
      </c>
      <c r="E151" t="s">
        <v>385</v>
      </c>
      <c r="F151" t="s">
        <v>112</v>
      </c>
      <c r="G151" t="s">
        <v>221</v>
      </c>
      <c r="I151" t="s">
        <v>442</v>
      </c>
      <c r="J151" t="s">
        <v>443</v>
      </c>
      <c r="K151" t="s">
        <v>803</v>
      </c>
      <c r="L151" t="s">
        <v>937</v>
      </c>
    </row>
    <row r="152" spans="1:12" x14ac:dyDescent="0.35">
      <c r="A152" t="s">
        <v>95</v>
      </c>
      <c r="B152" t="s">
        <v>172</v>
      </c>
      <c r="C152" t="s">
        <v>444</v>
      </c>
      <c r="D152" t="s">
        <v>445</v>
      </c>
      <c r="E152" t="s">
        <v>446</v>
      </c>
      <c r="F152" t="s">
        <v>112</v>
      </c>
      <c r="G152" t="s">
        <v>221</v>
      </c>
      <c r="K152" t="s">
        <v>804</v>
      </c>
      <c r="L152" t="s">
        <v>937</v>
      </c>
    </row>
    <row r="153" spans="1:12" x14ac:dyDescent="0.35">
      <c r="A153" t="s">
        <v>95</v>
      </c>
      <c r="B153" t="s">
        <v>172</v>
      </c>
      <c r="C153" t="s">
        <v>447</v>
      </c>
      <c r="D153" t="s">
        <v>448</v>
      </c>
      <c r="F153" t="s">
        <v>109</v>
      </c>
      <c r="G153" t="s">
        <v>29</v>
      </c>
      <c r="I153" t="s">
        <v>919</v>
      </c>
      <c r="J153" t="s">
        <v>171</v>
      </c>
      <c r="K153" t="s">
        <v>805</v>
      </c>
      <c r="L153" t="s">
        <v>937</v>
      </c>
    </row>
    <row r="154" spans="1:12" x14ac:dyDescent="0.35">
      <c r="A154" t="s">
        <v>95</v>
      </c>
      <c r="B154" t="s">
        <v>172</v>
      </c>
      <c r="C154" t="s">
        <v>447</v>
      </c>
      <c r="D154" t="s">
        <v>448</v>
      </c>
      <c r="F154" t="s">
        <v>109</v>
      </c>
      <c r="G154" t="s">
        <v>29</v>
      </c>
      <c r="I154" t="s">
        <v>904</v>
      </c>
      <c r="J154" t="s">
        <v>297</v>
      </c>
      <c r="K154" t="s">
        <v>805</v>
      </c>
      <c r="L154" t="s">
        <v>937</v>
      </c>
    </row>
    <row r="155" spans="1:12" x14ac:dyDescent="0.35">
      <c r="A155" t="s">
        <v>95</v>
      </c>
      <c r="B155" t="s">
        <v>172</v>
      </c>
      <c r="C155" t="s">
        <v>449</v>
      </c>
      <c r="D155" t="s">
        <v>450</v>
      </c>
      <c r="F155" t="s">
        <v>109</v>
      </c>
      <c r="G155" t="s">
        <v>33</v>
      </c>
      <c r="K155" t="s">
        <v>805</v>
      </c>
      <c r="L155" t="s">
        <v>937</v>
      </c>
    </row>
    <row r="156" spans="1:12" x14ac:dyDescent="0.35">
      <c r="A156" t="s">
        <v>95</v>
      </c>
      <c r="B156" t="s">
        <v>172</v>
      </c>
      <c r="C156" t="s">
        <v>451</v>
      </c>
      <c r="D156" t="s">
        <v>452</v>
      </c>
      <c r="F156" t="s">
        <v>112</v>
      </c>
      <c r="G156" t="s">
        <v>175</v>
      </c>
      <c r="K156" t="s">
        <v>810</v>
      </c>
      <c r="L156" t="s">
        <v>937</v>
      </c>
    </row>
    <row r="157" spans="1:12" x14ac:dyDescent="0.35">
      <c r="A157" t="s">
        <v>95</v>
      </c>
      <c r="B157" t="s">
        <v>172</v>
      </c>
      <c r="C157" t="s">
        <v>382</v>
      </c>
      <c r="D157" t="s">
        <v>453</v>
      </c>
      <c r="F157" t="s">
        <v>109</v>
      </c>
      <c r="G157" t="s">
        <v>175</v>
      </c>
      <c r="I157" t="s">
        <v>920</v>
      </c>
      <c r="J157" t="s">
        <v>297</v>
      </c>
      <c r="K157" t="s">
        <v>809</v>
      </c>
      <c r="L157" t="s">
        <v>937</v>
      </c>
    </row>
    <row r="158" spans="1:12" x14ac:dyDescent="0.35">
      <c r="A158" t="s">
        <v>95</v>
      </c>
      <c r="B158" t="s">
        <v>172</v>
      </c>
      <c r="C158" t="s">
        <v>382</v>
      </c>
      <c r="D158" t="s">
        <v>453</v>
      </c>
      <c r="F158" t="s">
        <v>109</v>
      </c>
      <c r="G158" t="s">
        <v>175</v>
      </c>
      <c r="I158" t="s">
        <v>380</v>
      </c>
      <c r="J158" t="s">
        <v>168</v>
      </c>
      <c r="K158" t="s">
        <v>809</v>
      </c>
      <c r="L158" t="s">
        <v>937</v>
      </c>
    </row>
    <row r="159" spans="1:12" x14ac:dyDescent="0.35">
      <c r="A159" t="s">
        <v>95</v>
      </c>
      <c r="B159" t="s">
        <v>172</v>
      </c>
      <c r="C159" t="s">
        <v>454</v>
      </c>
      <c r="D159" t="s">
        <v>455</v>
      </c>
      <c r="F159" t="s">
        <v>109</v>
      </c>
      <c r="G159" t="s">
        <v>203</v>
      </c>
      <c r="L159" t="s">
        <v>937</v>
      </c>
    </row>
    <row r="160" spans="1:12" x14ac:dyDescent="0.35">
      <c r="A160" t="s">
        <v>95</v>
      </c>
      <c r="B160" t="s">
        <v>172</v>
      </c>
      <c r="C160" t="s">
        <v>456</v>
      </c>
      <c r="D160" t="s">
        <v>457</v>
      </c>
      <c r="E160" t="s">
        <v>109</v>
      </c>
      <c r="F160" t="s">
        <v>109</v>
      </c>
      <c r="G160" t="s">
        <v>33</v>
      </c>
      <c r="K160" t="s">
        <v>804</v>
      </c>
      <c r="L160" t="s">
        <v>937</v>
      </c>
    </row>
    <row r="161" spans="1:12" x14ac:dyDescent="0.35">
      <c r="A161" t="s">
        <v>95</v>
      </c>
      <c r="B161" t="s">
        <v>172</v>
      </c>
      <c r="C161" t="s">
        <v>458</v>
      </c>
      <c r="D161" t="s">
        <v>459</v>
      </c>
      <c r="F161" t="s">
        <v>109</v>
      </c>
      <c r="G161" t="s">
        <v>29</v>
      </c>
      <c r="I161" t="s">
        <v>903</v>
      </c>
      <c r="J161" t="s">
        <v>297</v>
      </c>
      <c r="K161" t="s">
        <v>809</v>
      </c>
      <c r="L161" t="s">
        <v>937</v>
      </c>
    </row>
    <row r="162" spans="1:12" x14ac:dyDescent="0.35">
      <c r="A162" t="s">
        <v>95</v>
      </c>
      <c r="B162" t="s">
        <v>172</v>
      </c>
      <c r="C162" t="s">
        <v>458</v>
      </c>
      <c r="D162" t="s">
        <v>459</v>
      </c>
      <c r="F162" t="s">
        <v>109</v>
      </c>
      <c r="G162" t="s">
        <v>29</v>
      </c>
      <c r="I162" t="s">
        <v>921</v>
      </c>
      <c r="J162" t="s">
        <v>171</v>
      </c>
      <c r="K162" t="s">
        <v>809</v>
      </c>
      <c r="L162" t="s">
        <v>937</v>
      </c>
    </row>
    <row r="163" spans="1:12" x14ac:dyDescent="0.35">
      <c r="A163" t="s">
        <v>95</v>
      </c>
      <c r="B163" t="s">
        <v>172</v>
      </c>
      <c r="C163" t="s">
        <v>460</v>
      </c>
      <c r="D163" t="s">
        <v>461</v>
      </c>
      <c r="F163" t="s">
        <v>109</v>
      </c>
      <c r="G163" t="s">
        <v>29</v>
      </c>
      <c r="I163" t="s">
        <v>415</v>
      </c>
      <c r="J163" t="s">
        <v>171</v>
      </c>
      <c r="K163" t="s">
        <v>806</v>
      </c>
      <c r="L163" t="s">
        <v>937</v>
      </c>
    </row>
    <row r="164" spans="1:12" x14ac:dyDescent="0.35">
      <c r="A164" t="s">
        <v>95</v>
      </c>
      <c r="B164" t="s">
        <v>172</v>
      </c>
      <c r="C164" t="s">
        <v>462</v>
      </c>
      <c r="D164" t="s">
        <v>463</v>
      </c>
      <c r="F164" t="s">
        <v>112</v>
      </c>
      <c r="G164" t="s">
        <v>29</v>
      </c>
      <c r="I164" t="s">
        <v>922</v>
      </c>
      <c r="J164" t="s">
        <v>297</v>
      </c>
      <c r="K164" t="s">
        <v>810</v>
      </c>
      <c r="L164" t="s">
        <v>937</v>
      </c>
    </row>
    <row r="165" spans="1:12" x14ac:dyDescent="0.35">
      <c r="A165" t="s">
        <v>95</v>
      </c>
      <c r="B165" t="s">
        <v>172</v>
      </c>
      <c r="C165" t="s">
        <v>462</v>
      </c>
      <c r="D165" t="s">
        <v>463</v>
      </c>
      <c r="F165" t="s">
        <v>112</v>
      </c>
      <c r="G165" t="s">
        <v>29</v>
      </c>
      <c r="I165" t="s">
        <v>923</v>
      </c>
      <c r="J165" t="s">
        <v>297</v>
      </c>
      <c r="K165" t="s">
        <v>810</v>
      </c>
      <c r="L165" t="s">
        <v>937</v>
      </c>
    </row>
    <row r="166" spans="1:12" x14ac:dyDescent="0.35">
      <c r="A166" t="s">
        <v>95</v>
      </c>
      <c r="B166" t="s">
        <v>172</v>
      </c>
      <c r="C166" t="s">
        <v>462</v>
      </c>
      <c r="D166" t="s">
        <v>463</v>
      </c>
      <c r="F166" t="s">
        <v>112</v>
      </c>
      <c r="G166" t="s">
        <v>29</v>
      </c>
      <c r="I166" t="s">
        <v>407</v>
      </c>
      <c r="J166" t="s">
        <v>171</v>
      </c>
      <c r="K166" t="s">
        <v>810</v>
      </c>
      <c r="L166" t="s">
        <v>937</v>
      </c>
    </row>
    <row r="167" spans="1:12" x14ac:dyDescent="0.35">
      <c r="A167" t="s">
        <v>95</v>
      </c>
      <c r="B167" t="s">
        <v>172</v>
      </c>
      <c r="C167" t="s">
        <v>464</v>
      </c>
      <c r="D167" t="s">
        <v>465</v>
      </c>
      <c r="F167" t="s">
        <v>112</v>
      </c>
      <c r="G167" t="s">
        <v>29</v>
      </c>
      <c r="L167" t="s">
        <v>939</v>
      </c>
    </row>
    <row r="168" spans="1:12" x14ac:dyDescent="0.35">
      <c r="A168" t="s">
        <v>95</v>
      </c>
      <c r="B168" t="s">
        <v>172</v>
      </c>
      <c r="C168" t="s">
        <v>466</v>
      </c>
      <c r="D168" t="s">
        <v>467</v>
      </c>
      <c r="F168" t="s">
        <v>112</v>
      </c>
      <c r="G168" t="s">
        <v>29</v>
      </c>
      <c r="L168" t="s">
        <v>939</v>
      </c>
    </row>
    <row r="169" spans="1:12" x14ac:dyDescent="0.35">
      <c r="A169" t="s">
        <v>95</v>
      </c>
      <c r="B169" t="s">
        <v>172</v>
      </c>
      <c r="C169" t="s">
        <v>468</v>
      </c>
      <c r="D169" t="s">
        <v>469</v>
      </c>
      <c r="F169" t="s">
        <v>112</v>
      </c>
      <c r="G169" t="s">
        <v>29</v>
      </c>
      <c r="I169" t="s">
        <v>470</v>
      </c>
      <c r="J169" t="s">
        <v>297</v>
      </c>
      <c r="L169" t="s">
        <v>939</v>
      </c>
    </row>
    <row r="170" spans="1:12" x14ac:dyDescent="0.35">
      <c r="A170" t="s">
        <v>95</v>
      </c>
      <c r="B170" t="s">
        <v>172</v>
      </c>
      <c r="C170" t="s">
        <v>471</v>
      </c>
      <c r="D170" t="s">
        <v>472</v>
      </c>
      <c r="F170" t="s">
        <v>473</v>
      </c>
      <c r="G170" t="s">
        <v>243</v>
      </c>
      <c r="I170" t="s">
        <v>474</v>
      </c>
      <c r="J170" t="s">
        <v>331</v>
      </c>
      <c r="L170" t="s">
        <v>939</v>
      </c>
    </row>
    <row r="171" spans="1:12" x14ac:dyDescent="0.35">
      <c r="A171" t="s">
        <v>95</v>
      </c>
      <c r="B171" t="s">
        <v>172</v>
      </c>
      <c r="C171" t="s">
        <v>475</v>
      </c>
      <c r="D171" t="s">
        <v>476</v>
      </c>
      <c r="F171" t="s">
        <v>109</v>
      </c>
      <c r="G171" t="s">
        <v>29</v>
      </c>
      <c r="L171" t="s">
        <v>937</v>
      </c>
    </row>
    <row r="172" spans="1:12" x14ac:dyDescent="0.35">
      <c r="A172" t="s">
        <v>95</v>
      </c>
      <c r="B172" t="s">
        <v>172</v>
      </c>
      <c r="C172" t="s">
        <v>477</v>
      </c>
      <c r="D172" t="s">
        <v>478</v>
      </c>
      <c r="F172" t="s">
        <v>473</v>
      </c>
      <c r="G172" t="s">
        <v>203</v>
      </c>
      <c r="L172" t="s">
        <v>940</v>
      </c>
    </row>
    <row r="173" spans="1:12" x14ac:dyDescent="0.35">
      <c r="A173" t="s">
        <v>95</v>
      </c>
      <c r="B173" t="s">
        <v>172</v>
      </c>
      <c r="C173" t="s">
        <v>479</v>
      </c>
      <c r="D173" t="s">
        <v>480</v>
      </c>
      <c r="F173" t="s">
        <v>112</v>
      </c>
      <c r="G173" t="s">
        <v>243</v>
      </c>
      <c r="I173" t="s">
        <v>481</v>
      </c>
      <c r="J173" t="s">
        <v>443</v>
      </c>
      <c r="K173" t="s">
        <v>810</v>
      </c>
      <c r="L173" t="s">
        <v>937</v>
      </c>
    </row>
    <row r="174" spans="1:12" x14ac:dyDescent="0.35">
      <c r="A174" t="s">
        <v>95</v>
      </c>
      <c r="B174" t="s">
        <v>172</v>
      </c>
      <c r="C174" t="s">
        <v>470</v>
      </c>
      <c r="D174" t="s">
        <v>482</v>
      </c>
      <c r="F174" t="s">
        <v>112</v>
      </c>
      <c r="G174" t="s">
        <v>243</v>
      </c>
      <c r="I174" t="s">
        <v>468</v>
      </c>
      <c r="J174" t="s">
        <v>171</v>
      </c>
      <c r="L174" t="s">
        <v>939</v>
      </c>
    </row>
    <row r="175" spans="1:12" x14ac:dyDescent="0.35">
      <c r="A175" t="s">
        <v>95</v>
      </c>
      <c r="B175" t="s">
        <v>172</v>
      </c>
      <c r="C175" t="s">
        <v>483</v>
      </c>
      <c r="D175" t="s">
        <v>484</v>
      </c>
      <c r="E175" t="s">
        <v>385</v>
      </c>
      <c r="F175" t="s">
        <v>112</v>
      </c>
      <c r="G175" t="s">
        <v>221</v>
      </c>
      <c r="I175" t="s">
        <v>485</v>
      </c>
      <c r="J175" t="s">
        <v>170</v>
      </c>
      <c r="K175" t="s">
        <v>803</v>
      </c>
      <c r="L175" t="s">
        <v>937</v>
      </c>
    </row>
    <row r="176" spans="1:12" x14ac:dyDescent="0.35">
      <c r="A176" t="s">
        <v>95</v>
      </c>
      <c r="B176" t="s">
        <v>172</v>
      </c>
      <c r="C176" t="s">
        <v>486</v>
      </c>
      <c r="D176" t="s">
        <v>487</v>
      </c>
      <c r="E176" t="s">
        <v>391</v>
      </c>
      <c r="F176" t="s">
        <v>112</v>
      </c>
      <c r="G176" t="s">
        <v>221</v>
      </c>
      <c r="I176" t="s">
        <v>407</v>
      </c>
      <c r="J176" t="s">
        <v>171</v>
      </c>
      <c r="K176" t="s">
        <v>807</v>
      </c>
      <c r="L176" t="s">
        <v>937</v>
      </c>
    </row>
    <row r="177" spans="1:12" x14ac:dyDescent="0.35">
      <c r="A177" t="s">
        <v>488</v>
      </c>
      <c r="B177" t="s">
        <v>172</v>
      </c>
      <c r="C177" t="s">
        <v>489</v>
      </c>
      <c r="D177" t="s">
        <v>490</v>
      </c>
      <c r="F177" t="s">
        <v>491</v>
      </c>
      <c r="G177" t="s">
        <v>243</v>
      </c>
      <c r="H177" s="2">
        <v>46203</v>
      </c>
      <c r="L177" t="s">
        <v>967</v>
      </c>
    </row>
    <row r="178" spans="1:12" x14ac:dyDescent="0.35">
      <c r="A178" t="s">
        <v>113</v>
      </c>
      <c r="B178" t="s">
        <v>172</v>
      </c>
      <c r="C178" t="s">
        <v>492</v>
      </c>
      <c r="D178" t="s">
        <v>493</v>
      </c>
      <c r="F178" t="s">
        <v>116</v>
      </c>
      <c r="G178" t="s">
        <v>29</v>
      </c>
      <c r="K178" t="s">
        <v>811</v>
      </c>
      <c r="L178" t="s">
        <v>937</v>
      </c>
    </row>
    <row r="179" spans="1:12" x14ac:dyDescent="0.35">
      <c r="A179" t="s">
        <v>113</v>
      </c>
      <c r="B179" t="s">
        <v>172</v>
      </c>
      <c r="C179" t="s">
        <v>495</v>
      </c>
      <c r="D179" t="s">
        <v>496</v>
      </c>
      <c r="E179" t="s">
        <v>497</v>
      </c>
      <c r="F179" t="s">
        <v>116</v>
      </c>
      <c r="G179" t="s">
        <v>203</v>
      </c>
      <c r="I179" t="s">
        <v>498</v>
      </c>
      <c r="J179" t="s">
        <v>443</v>
      </c>
      <c r="K179" t="s">
        <v>811</v>
      </c>
      <c r="L179" t="s">
        <v>937</v>
      </c>
    </row>
    <row r="180" spans="1:12" x14ac:dyDescent="0.35">
      <c r="A180" t="s">
        <v>113</v>
      </c>
      <c r="B180" t="s">
        <v>172</v>
      </c>
      <c r="C180" t="s">
        <v>495</v>
      </c>
      <c r="D180" t="s">
        <v>496</v>
      </c>
      <c r="E180" t="s">
        <v>497</v>
      </c>
      <c r="F180" t="s">
        <v>116</v>
      </c>
      <c r="G180" t="s">
        <v>203</v>
      </c>
      <c r="I180" t="s">
        <v>498</v>
      </c>
      <c r="J180" t="s">
        <v>170</v>
      </c>
      <c r="K180" t="s">
        <v>811</v>
      </c>
      <c r="L180" t="s">
        <v>937</v>
      </c>
    </row>
    <row r="181" spans="1:12" x14ac:dyDescent="0.35">
      <c r="A181" t="s">
        <v>113</v>
      </c>
      <c r="B181" t="s">
        <v>172</v>
      </c>
      <c r="C181" t="s">
        <v>499</v>
      </c>
      <c r="D181" t="s">
        <v>500</v>
      </c>
      <c r="E181" t="s">
        <v>494</v>
      </c>
      <c r="F181" t="s">
        <v>116</v>
      </c>
      <c r="G181" t="s">
        <v>201</v>
      </c>
      <c r="I181" t="s">
        <v>924</v>
      </c>
      <c r="J181" t="s">
        <v>170</v>
      </c>
      <c r="K181" t="s">
        <v>968</v>
      </c>
      <c r="L181" t="s">
        <v>937</v>
      </c>
    </row>
    <row r="182" spans="1:12" x14ac:dyDescent="0.35">
      <c r="A182" t="s">
        <v>113</v>
      </c>
      <c r="B182" t="s">
        <v>172</v>
      </c>
      <c r="C182" t="s">
        <v>501</v>
      </c>
      <c r="D182" t="s">
        <v>502</v>
      </c>
      <c r="E182" t="s">
        <v>116</v>
      </c>
      <c r="F182" t="s">
        <v>116</v>
      </c>
      <c r="G182" t="s">
        <v>29</v>
      </c>
      <c r="K182" t="s">
        <v>813</v>
      </c>
      <c r="L182" t="s">
        <v>937</v>
      </c>
    </row>
    <row r="183" spans="1:12" x14ac:dyDescent="0.35">
      <c r="A183" t="s">
        <v>113</v>
      </c>
      <c r="B183" t="s">
        <v>172</v>
      </c>
      <c r="C183" t="s">
        <v>503</v>
      </c>
      <c r="D183" t="s">
        <v>504</v>
      </c>
      <c r="E183" t="s">
        <v>116</v>
      </c>
      <c r="F183" t="s">
        <v>116</v>
      </c>
      <c r="G183" t="s">
        <v>221</v>
      </c>
      <c r="I183" t="s">
        <v>505</v>
      </c>
      <c r="J183" t="s">
        <v>422</v>
      </c>
      <c r="K183" t="s">
        <v>814</v>
      </c>
      <c r="L183" t="s">
        <v>937</v>
      </c>
    </row>
    <row r="184" spans="1:12" x14ac:dyDescent="0.35">
      <c r="A184" t="s">
        <v>113</v>
      </c>
      <c r="B184" t="s">
        <v>172</v>
      </c>
      <c r="C184" t="s">
        <v>506</v>
      </c>
      <c r="D184" t="s">
        <v>507</v>
      </c>
      <c r="F184" t="s">
        <v>116</v>
      </c>
      <c r="G184" t="s">
        <v>203</v>
      </c>
      <c r="K184" t="s">
        <v>813</v>
      </c>
      <c r="L184" t="s">
        <v>937</v>
      </c>
    </row>
    <row r="185" spans="1:12" x14ac:dyDescent="0.35">
      <c r="A185" t="s">
        <v>113</v>
      </c>
      <c r="B185" t="s">
        <v>172</v>
      </c>
      <c r="C185" t="s">
        <v>508</v>
      </c>
      <c r="D185" t="s">
        <v>509</v>
      </c>
      <c r="E185" t="s">
        <v>510</v>
      </c>
      <c r="F185" t="s">
        <v>140</v>
      </c>
      <c r="G185" t="s">
        <v>52</v>
      </c>
      <c r="I185" t="s">
        <v>511</v>
      </c>
      <c r="J185" t="s">
        <v>168</v>
      </c>
      <c r="K185" t="s">
        <v>811</v>
      </c>
      <c r="L185" t="s">
        <v>937</v>
      </c>
    </row>
    <row r="186" spans="1:12" x14ac:dyDescent="0.35">
      <c r="A186" t="s">
        <v>113</v>
      </c>
      <c r="B186" t="s">
        <v>172</v>
      </c>
      <c r="C186" t="s">
        <v>512</v>
      </c>
      <c r="D186" t="s">
        <v>513</v>
      </c>
      <c r="E186" t="s">
        <v>514</v>
      </c>
      <c r="F186" t="s">
        <v>116</v>
      </c>
      <c r="G186" t="s">
        <v>248</v>
      </c>
      <c r="I186" t="s">
        <v>515</v>
      </c>
      <c r="J186" t="s">
        <v>171</v>
      </c>
      <c r="K186" t="s">
        <v>969</v>
      </c>
      <c r="L186" t="s">
        <v>937</v>
      </c>
    </row>
    <row r="187" spans="1:12" x14ac:dyDescent="0.35">
      <c r="A187" t="s">
        <v>113</v>
      </c>
      <c r="B187" t="s">
        <v>172</v>
      </c>
      <c r="C187" t="s">
        <v>516</v>
      </c>
      <c r="D187" t="s">
        <v>517</v>
      </c>
      <c r="E187" t="s">
        <v>116</v>
      </c>
      <c r="F187" t="s">
        <v>116</v>
      </c>
      <c r="G187" t="s">
        <v>203</v>
      </c>
      <c r="L187" t="s">
        <v>937</v>
      </c>
    </row>
    <row r="188" spans="1:12" x14ac:dyDescent="0.35">
      <c r="A188" t="s">
        <v>113</v>
      </c>
      <c r="B188" t="s">
        <v>172</v>
      </c>
      <c r="C188" t="s">
        <v>518</v>
      </c>
      <c r="D188" t="s">
        <v>519</v>
      </c>
      <c r="E188" t="s">
        <v>116</v>
      </c>
      <c r="F188" t="s">
        <v>116</v>
      </c>
      <c r="G188" t="s">
        <v>203</v>
      </c>
      <c r="K188" t="s">
        <v>813</v>
      </c>
      <c r="L188" t="s">
        <v>937</v>
      </c>
    </row>
    <row r="189" spans="1:12" x14ac:dyDescent="0.35">
      <c r="A189" t="s">
        <v>113</v>
      </c>
      <c r="B189" t="s">
        <v>172</v>
      </c>
      <c r="C189" t="s">
        <v>520</v>
      </c>
      <c r="D189" t="s">
        <v>521</v>
      </c>
      <c r="E189" t="s">
        <v>116</v>
      </c>
      <c r="F189" t="s">
        <v>116</v>
      </c>
      <c r="G189" t="s">
        <v>203</v>
      </c>
      <c r="I189" t="s">
        <v>522</v>
      </c>
      <c r="J189" t="s">
        <v>443</v>
      </c>
      <c r="K189" t="s">
        <v>813</v>
      </c>
      <c r="L189" t="s">
        <v>937</v>
      </c>
    </row>
    <row r="190" spans="1:12" x14ac:dyDescent="0.35">
      <c r="A190" t="s">
        <v>113</v>
      </c>
      <c r="B190" t="s">
        <v>172</v>
      </c>
      <c r="C190" t="s">
        <v>523</v>
      </c>
      <c r="D190" t="s">
        <v>524</v>
      </c>
      <c r="E190" t="s">
        <v>116</v>
      </c>
      <c r="F190" t="s">
        <v>116</v>
      </c>
      <c r="G190" t="s">
        <v>203</v>
      </c>
      <c r="L190" t="s">
        <v>937</v>
      </c>
    </row>
    <row r="191" spans="1:12" x14ac:dyDescent="0.35">
      <c r="A191" t="s">
        <v>113</v>
      </c>
      <c r="B191" t="s">
        <v>172</v>
      </c>
      <c r="C191" t="s">
        <v>525</v>
      </c>
      <c r="D191" t="s">
        <v>526</v>
      </c>
      <c r="E191" t="s">
        <v>116</v>
      </c>
      <c r="F191" t="s">
        <v>116</v>
      </c>
      <c r="G191" t="s">
        <v>221</v>
      </c>
      <c r="I191" t="s">
        <v>527</v>
      </c>
      <c r="J191" t="s">
        <v>422</v>
      </c>
      <c r="K191" t="s">
        <v>814</v>
      </c>
      <c r="L191" t="s">
        <v>937</v>
      </c>
    </row>
    <row r="192" spans="1:12" x14ac:dyDescent="0.35">
      <c r="A192" t="s">
        <v>113</v>
      </c>
      <c r="B192" t="s">
        <v>172</v>
      </c>
      <c r="C192" t="s">
        <v>528</v>
      </c>
      <c r="D192" t="s">
        <v>529</v>
      </c>
      <c r="F192" t="s">
        <v>116</v>
      </c>
      <c r="G192" t="s">
        <v>203</v>
      </c>
      <c r="K192" t="s">
        <v>813</v>
      </c>
      <c r="L192" t="s">
        <v>937</v>
      </c>
    </row>
    <row r="193" spans="1:12" x14ac:dyDescent="0.35">
      <c r="A193" t="s">
        <v>113</v>
      </c>
      <c r="B193" t="s">
        <v>172</v>
      </c>
      <c r="C193" t="s">
        <v>530</v>
      </c>
      <c r="D193" t="s">
        <v>531</v>
      </c>
      <c r="E193" t="s">
        <v>116</v>
      </c>
      <c r="F193" t="s">
        <v>116</v>
      </c>
      <c r="G193" t="s">
        <v>203</v>
      </c>
      <c r="K193" t="s">
        <v>813</v>
      </c>
      <c r="L193" t="s">
        <v>937</v>
      </c>
    </row>
    <row r="194" spans="1:12" x14ac:dyDescent="0.35">
      <c r="A194" t="s">
        <v>113</v>
      </c>
      <c r="B194" t="s">
        <v>172</v>
      </c>
      <c r="C194" t="s">
        <v>532</v>
      </c>
      <c r="D194" t="s">
        <v>533</v>
      </c>
      <c r="F194" t="s">
        <v>116</v>
      </c>
      <c r="G194" t="s">
        <v>203</v>
      </c>
      <c r="K194" t="s">
        <v>813</v>
      </c>
      <c r="L194" t="s">
        <v>937</v>
      </c>
    </row>
    <row r="195" spans="1:12" x14ac:dyDescent="0.35">
      <c r="A195" t="s">
        <v>113</v>
      </c>
      <c r="B195" t="s">
        <v>172</v>
      </c>
      <c r="C195" t="s">
        <v>534</v>
      </c>
      <c r="D195" t="s">
        <v>535</v>
      </c>
      <c r="E195" t="s">
        <v>116</v>
      </c>
      <c r="F195" t="s">
        <v>536</v>
      </c>
      <c r="G195" t="s">
        <v>221</v>
      </c>
      <c r="I195" t="s">
        <v>537</v>
      </c>
      <c r="J195" t="s">
        <v>422</v>
      </c>
      <c r="K195" t="s">
        <v>815</v>
      </c>
      <c r="L195" t="s">
        <v>937</v>
      </c>
    </row>
    <row r="196" spans="1:12" x14ac:dyDescent="0.35">
      <c r="A196" t="s">
        <v>113</v>
      </c>
      <c r="B196" t="s">
        <v>172</v>
      </c>
      <c r="C196" t="s">
        <v>534</v>
      </c>
      <c r="D196" t="s">
        <v>535</v>
      </c>
      <c r="E196" t="s">
        <v>116</v>
      </c>
      <c r="F196" t="s">
        <v>536</v>
      </c>
      <c r="G196" t="s">
        <v>221</v>
      </c>
      <c r="I196" t="s">
        <v>970</v>
      </c>
      <c r="J196" t="s">
        <v>443</v>
      </c>
      <c r="K196" t="s">
        <v>815</v>
      </c>
      <c r="L196" t="s">
        <v>937</v>
      </c>
    </row>
    <row r="197" spans="1:12" x14ac:dyDescent="0.35">
      <c r="A197" t="s">
        <v>113</v>
      </c>
      <c r="B197" t="s">
        <v>172</v>
      </c>
      <c r="C197" t="s">
        <v>538</v>
      </c>
      <c r="D197" t="s">
        <v>539</v>
      </c>
      <c r="E197" t="s">
        <v>116</v>
      </c>
      <c r="F197" t="s">
        <v>116</v>
      </c>
      <c r="G197" t="s">
        <v>203</v>
      </c>
      <c r="I197" t="s">
        <v>540</v>
      </c>
      <c r="J197" t="s">
        <v>443</v>
      </c>
      <c r="L197" t="s">
        <v>937</v>
      </c>
    </row>
    <row r="198" spans="1:12" x14ac:dyDescent="0.35">
      <c r="A198" t="s">
        <v>113</v>
      </c>
      <c r="B198" t="s">
        <v>172</v>
      </c>
      <c r="C198" t="s">
        <v>541</v>
      </c>
      <c r="D198" t="s">
        <v>542</v>
      </c>
      <c r="E198" t="s">
        <v>116</v>
      </c>
      <c r="F198" t="s">
        <v>116</v>
      </c>
      <c r="G198" t="s">
        <v>203</v>
      </c>
      <c r="I198" t="s">
        <v>540</v>
      </c>
      <c r="J198" t="s">
        <v>443</v>
      </c>
      <c r="L198" t="s">
        <v>937</v>
      </c>
    </row>
    <row r="199" spans="1:12" x14ac:dyDescent="0.35">
      <c r="A199" t="s">
        <v>113</v>
      </c>
      <c r="B199" t="s">
        <v>172</v>
      </c>
      <c r="C199" t="s">
        <v>543</v>
      </c>
      <c r="D199" t="s">
        <v>544</v>
      </c>
      <c r="E199" t="s">
        <v>116</v>
      </c>
      <c r="F199" t="s">
        <v>116</v>
      </c>
      <c r="G199" t="s">
        <v>203</v>
      </c>
      <c r="I199" t="s">
        <v>540</v>
      </c>
      <c r="J199" t="s">
        <v>443</v>
      </c>
      <c r="L199" t="s">
        <v>937</v>
      </c>
    </row>
    <row r="200" spans="1:12" x14ac:dyDescent="0.35">
      <c r="A200" t="s">
        <v>113</v>
      </c>
      <c r="B200" t="s">
        <v>172</v>
      </c>
      <c r="C200" t="s">
        <v>543</v>
      </c>
      <c r="D200" t="s">
        <v>544</v>
      </c>
      <c r="E200" t="s">
        <v>116</v>
      </c>
      <c r="F200" t="s">
        <v>116</v>
      </c>
      <c r="G200" t="s">
        <v>203</v>
      </c>
      <c r="I200" t="s">
        <v>925</v>
      </c>
      <c r="J200" t="s">
        <v>168</v>
      </c>
      <c r="L200" t="s">
        <v>937</v>
      </c>
    </row>
    <row r="201" spans="1:12" x14ac:dyDescent="0.35">
      <c r="A201" t="s">
        <v>113</v>
      </c>
      <c r="B201" t="s">
        <v>172</v>
      </c>
      <c r="C201" t="s">
        <v>545</v>
      </c>
      <c r="D201" t="s">
        <v>546</v>
      </c>
      <c r="E201" t="s">
        <v>116</v>
      </c>
      <c r="F201" t="s">
        <v>116</v>
      </c>
      <c r="G201" t="s">
        <v>203</v>
      </c>
      <c r="I201" t="s">
        <v>540</v>
      </c>
      <c r="J201" t="s">
        <v>443</v>
      </c>
      <c r="L201" t="s">
        <v>937</v>
      </c>
    </row>
    <row r="202" spans="1:12" x14ac:dyDescent="0.35">
      <c r="A202" t="s">
        <v>113</v>
      </c>
      <c r="B202" t="s">
        <v>172</v>
      </c>
      <c r="C202" t="s">
        <v>547</v>
      </c>
      <c r="D202" t="s">
        <v>548</v>
      </c>
      <c r="E202" t="s">
        <v>116</v>
      </c>
      <c r="F202" t="s">
        <v>536</v>
      </c>
      <c r="G202" t="s">
        <v>175</v>
      </c>
      <c r="L202" t="s">
        <v>937</v>
      </c>
    </row>
    <row r="203" spans="1:12" x14ac:dyDescent="0.35">
      <c r="A203" t="s">
        <v>113</v>
      </c>
      <c r="B203" t="s">
        <v>172</v>
      </c>
      <c r="C203" t="s">
        <v>549</v>
      </c>
      <c r="D203" t="s">
        <v>550</v>
      </c>
      <c r="E203" t="s">
        <v>116</v>
      </c>
      <c r="F203" t="s">
        <v>536</v>
      </c>
      <c r="G203" t="s">
        <v>175</v>
      </c>
      <c r="L203" t="s">
        <v>937</v>
      </c>
    </row>
    <row r="204" spans="1:12" x14ac:dyDescent="0.35">
      <c r="A204" t="s">
        <v>113</v>
      </c>
      <c r="B204" t="s">
        <v>172</v>
      </c>
      <c r="C204" t="s">
        <v>551</v>
      </c>
      <c r="D204" t="s">
        <v>552</v>
      </c>
      <c r="E204" t="s">
        <v>116</v>
      </c>
      <c r="F204" t="s">
        <v>536</v>
      </c>
      <c r="G204" t="s">
        <v>175</v>
      </c>
      <c r="L204" t="s">
        <v>937</v>
      </c>
    </row>
    <row r="205" spans="1:12" x14ac:dyDescent="0.35">
      <c r="A205" t="s">
        <v>113</v>
      </c>
      <c r="B205" t="s">
        <v>172</v>
      </c>
      <c r="C205" t="s">
        <v>553</v>
      </c>
      <c r="D205" t="s">
        <v>554</v>
      </c>
      <c r="E205" t="s">
        <v>494</v>
      </c>
      <c r="F205" t="s">
        <v>116</v>
      </c>
      <c r="G205" t="s">
        <v>175</v>
      </c>
      <c r="K205" t="s">
        <v>968</v>
      </c>
      <c r="L205" t="s">
        <v>937</v>
      </c>
    </row>
    <row r="206" spans="1:12" x14ac:dyDescent="0.35">
      <c r="A206" t="s">
        <v>113</v>
      </c>
      <c r="B206" t="s">
        <v>172</v>
      </c>
      <c r="C206" t="s">
        <v>555</v>
      </c>
      <c r="D206" t="s">
        <v>556</v>
      </c>
      <c r="E206" t="s">
        <v>116</v>
      </c>
      <c r="F206" t="s">
        <v>116</v>
      </c>
      <c r="G206" t="s">
        <v>243</v>
      </c>
      <c r="L206" t="s">
        <v>937</v>
      </c>
    </row>
    <row r="207" spans="1:12" x14ac:dyDescent="0.35">
      <c r="A207" t="s">
        <v>113</v>
      </c>
      <c r="B207" t="s">
        <v>172</v>
      </c>
      <c r="C207" t="s">
        <v>557</v>
      </c>
      <c r="D207" t="s">
        <v>558</v>
      </c>
      <c r="E207" t="s">
        <v>116</v>
      </c>
      <c r="F207" t="s">
        <v>536</v>
      </c>
      <c r="G207" t="s">
        <v>175</v>
      </c>
      <c r="L207" t="s">
        <v>937</v>
      </c>
    </row>
    <row r="208" spans="1:12" x14ac:dyDescent="0.35">
      <c r="A208" t="s">
        <v>113</v>
      </c>
      <c r="B208" t="s">
        <v>172</v>
      </c>
      <c r="C208" t="s">
        <v>559</v>
      </c>
      <c r="D208" t="s">
        <v>560</v>
      </c>
      <c r="E208" t="s">
        <v>137</v>
      </c>
      <c r="F208" t="s">
        <v>137</v>
      </c>
      <c r="G208" t="s">
        <v>203</v>
      </c>
      <c r="L208" t="s">
        <v>937</v>
      </c>
    </row>
    <row r="209" spans="1:12" x14ac:dyDescent="0.35">
      <c r="A209" t="s">
        <v>113</v>
      </c>
      <c r="B209" t="s">
        <v>172</v>
      </c>
      <c r="C209" t="s">
        <v>561</v>
      </c>
      <c r="D209" t="s">
        <v>562</v>
      </c>
      <c r="E209" t="s">
        <v>137</v>
      </c>
      <c r="F209" t="s">
        <v>137</v>
      </c>
      <c r="G209" t="s">
        <v>203</v>
      </c>
      <c r="L209" t="s">
        <v>937</v>
      </c>
    </row>
    <row r="210" spans="1:12" x14ac:dyDescent="0.35">
      <c r="A210" t="s">
        <v>113</v>
      </c>
      <c r="B210" t="s">
        <v>172</v>
      </c>
      <c r="C210" t="s">
        <v>563</v>
      </c>
      <c r="D210" t="s">
        <v>564</v>
      </c>
      <c r="E210" t="s">
        <v>137</v>
      </c>
      <c r="F210" t="s">
        <v>137</v>
      </c>
      <c r="G210" t="s">
        <v>203</v>
      </c>
      <c r="L210" t="s">
        <v>937</v>
      </c>
    </row>
    <row r="211" spans="1:12" x14ac:dyDescent="0.35">
      <c r="A211" t="s">
        <v>113</v>
      </c>
      <c r="B211" t="s">
        <v>172</v>
      </c>
      <c r="C211" t="s">
        <v>565</v>
      </c>
      <c r="D211" t="s">
        <v>566</v>
      </c>
      <c r="E211" t="s">
        <v>137</v>
      </c>
      <c r="F211" t="s">
        <v>137</v>
      </c>
      <c r="G211" t="s">
        <v>203</v>
      </c>
      <c r="L211" t="s">
        <v>937</v>
      </c>
    </row>
    <row r="212" spans="1:12" x14ac:dyDescent="0.35">
      <c r="A212" t="s">
        <v>113</v>
      </c>
      <c r="B212" t="s">
        <v>172</v>
      </c>
      <c r="C212" t="s">
        <v>567</v>
      </c>
      <c r="D212" t="s">
        <v>568</v>
      </c>
      <c r="E212" t="s">
        <v>137</v>
      </c>
      <c r="F212" t="s">
        <v>137</v>
      </c>
      <c r="G212" t="s">
        <v>203</v>
      </c>
      <c r="L212" t="s">
        <v>937</v>
      </c>
    </row>
    <row r="213" spans="1:12" x14ac:dyDescent="0.35">
      <c r="A213" t="s">
        <v>113</v>
      </c>
      <c r="B213" t="s">
        <v>172</v>
      </c>
      <c r="C213" t="s">
        <v>569</v>
      </c>
      <c r="D213" t="s">
        <v>570</v>
      </c>
      <c r="E213" t="s">
        <v>137</v>
      </c>
      <c r="F213" t="s">
        <v>137</v>
      </c>
      <c r="G213" t="s">
        <v>203</v>
      </c>
      <c r="L213" t="s">
        <v>937</v>
      </c>
    </row>
    <row r="214" spans="1:12" x14ac:dyDescent="0.35">
      <c r="A214" t="s">
        <v>113</v>
      </c>
      <c r="B214" t="s">
        <v>172</v>
      </c>
      <c r="C214" t="s">
        <v>571</v>
      </c>
      <c r="D214" t="s">
        <v>572</v>
      </c>
      <c r="E214" t="s">
        <v>137</v>
      </c>
      <c r="F214" t="s">
        <v>137</v>
      </c>
      <c r="G214" t="s">
        <v>203</v>
      </c>
      <c r="L214" t="s">
        <v>937</v>
      </c>
    </row>
    <row r="215" spans="1:12" x14ac:dyDescent="0.35">
      <c r="A215" t="s">
        <v>113</v>
      </c>
      <c r="B215" t="s">
        <v>172</v>
      </c>
      <c r="C215" t="s">
        <v>573</v>
      </c>
      <c r="D215" t="s">
        <v>574</v>
      </c>
      <c r="E215" t="s">
        <v>137</v>
      </c>
      <c r="F215" t="s">
        <v>137</v>
      </c>
      <c r="G215" t="s">
        <v>203</v>
      </c>
      <c r="L215" t="s">
        <v>937</v>
      </c>
    </row>
    <row r="216" spans="1:12" x14ac:dyDescent="0.35">
      <c r="A216" t="s">
        <v>113</v>
      </c>
      <c r="B216" t="s">
        <v>172</v>
      </c>
      <c r="C216" t="s">
        <v>575</v>
      </c>
      <c r="D216" t="s">
        <v>576</v>
      </c>
      <c r="E216" t="s">
        <v>137</v>
      </c>
      <c r="F216" t="s">
        <v>137</v>
      </c>
      <c r="G216" t="s">
        <v>203</v>
      </c>
      <c r="L216" t="s">
        <v>937</v>
      </c>
    </row>
    <row r="217" spans="1:12" x14ac:dyDescent="0.35">
      <c r="A217" t="s">
        <v>113</v>
      </c>
      <c r="B217" t="s">
        <v>172</v>
      </c>
      <c r="C217" t="s">
        <v>577</v>
      </c>
      <c r="D217" t="s">
        <v>578</v>
      </c>
      <c r="E217" t="s">
        <v>137</v>
      </c>
      <c r="F217" t="s">
        <v>137</v>
      </c>
      <c r="G217" t="s">
        <v>203</v>
      </c>
      <c r="L217" t="s">
        <v>937</v>
      </c>
    </row>
    <row r="218" spans="1:12" x14ac:dyDescent="0.35">
      <c r="A218" t="s">
        <v>113</v>
      </c>
      <c r="B218" t="s">
        <v>172</v>
      </c>
      <c r="C218" t="s">
        <v>579</v>
      </c>
      <c r="D218" t="s">
        <v>580</v>
      </c>
      <c r="E218" t="s">
        <v>116</v>
      </c>
      <c r="F218" t="s">
        <v>137</v>
      </c>
      <c r="G218" t="s">
        <v>243</v>
      </c>
      <c r="L218" t="s">
        <v>937</v>
      </c>
    </row>
    <row r="219" spans="1:12" x14ac:dyDescent="0.35">
      <c r="A219" t="s">
        <v>113</v>
      </c>
      <c r="B219" t="s">
        <v>172</v>
      </c>
      <c r="C219" t="s">
        <v>581</v>
      </c>
      <c r="D219" t="s">
        <v>582</v>
      </c>
      <c r="E219" t="s">
        <v>137</v>
      </c>
      <c r="F219" t="s">
        <v>137</v>
      </c>
      <c r="G219" t="s">
        <v>243</v>
      </c>
      <c r="L219" t="s">
        <v>937</v>
      </c>
    </row>
    <row r="220" spans="1:12" x14ac:dyDescent="0.35">
      <c r="A220" t="s">
        <v>113</v>
      </c>
      <c r="B220" t="s">
        <v>172</v>
      </c>
      <c r="C220" t="s">
        <v>583</v>
      </c>
      <c r="D220" t="s">
        <v>584</v>
      </c>
      <c r="E220" t="s">
        <v>137</v>
      </c>
      <c r="F220" t="s">
        <v>137</v>
      </c>
      <c r="G220" t="s">
        <v>243</v>
      </c>
      <c r="L220" t="s">
        <v>937</v>
      </c>
    </row>
    <row r="221" spans="1:12" x14ac:dyDescent="0.35">
      <c r="A221" t="s">
        <v>113</v>
      </c>
      <c r="B221" t="s">
        <v>172</v>
      </c>
      <c r="C221" t="s">
        <v>585</v>
      </c>
      <c r="D221" t="s">
        <v>586</v>
      </c>
      <c r="E221" t="s">
        <v>137</v>
      </c>
      <c r="F221" t="s">
        <v>137</v>
      </c>
      <c r="G221" t="s">
        <v>243</v>
      </c>
      <c r="L221" t="s">
        <v>937</v>
      </c>
    </row>
    <row r="222" spans="1:12" x14ac:dyDescent="0.35">
      <c r="A222" t="s">
        <v>113</v>
      </c>
      <c r="B222" t="s">
        <v>172</v>
      </c>
      <c r="C222" t="s">
        <v>587</v>
      </c>
      <c r="D222" t="s">
        <v>588</v>
      </c>
      <c r="E222" t="s">
        <v>137</v>
      </c>
      <c r="F222" t="s">
        <v>137</v>
      </c>
      <c r="G222" t="s">
        <v>243</v>
      </c>
      <c r="L222" t="s">
        <v>937</v>
      </c>
    </row>
    <row r="223" spans="1:12" x14ac:dyDescent="0.35">
      <c r="A223" t="s">
        <v>113</v>
      </c>
      <c r="B223" t="s">
        <v>172</v>
      </c>
      <c r="C223" t="s">
        <v>589</v>
      </c>
      <c r="D223" t="s">
        <v>590</v>
      </c>
      <c r="E223" t="s">
        <v>514</v>
      </c>
      <c r="F223" t="s">
        <v>591</v>
      </c>
      <c r="G223" t="s">
        <v>221</v>
      </c>
      <c r="K223" t="s">
        <v>814</v>
      </c>
      <c r="L223" t="s">
        <v>937</v>
      </c>
    </row>
    <row r="224" spans="1:12" x14ac:dyDescent="0.35">
      <c r="A224" t="s">
        <v>113</v>
      </c>
      <c r="B224" t="s">
        <v>172</v>
      </c>
      <c r="C224" t="s">
        <v>592</v>
      </c>
      <c r="D224" t="s">
        <v>593</v>
      </c>
      <c r="E224" t="s">
        <v>494</v>
      </c>
      <c r="F224" t="s">
        <v>116</v>
      </c>
      <c r="G224" t="s">
        <v>29</v>
      </c>
      <c r="K224" t="s">
        <v>811</v>
      </c>
      <c r="L224" t="s">
        <v>937</v>
      </c>
    </row>
    <row r="225" spans="1:12" x14ac:dyDescent="0.35">
      <c r="A225" t="s">
        <v>113</v>
      </c>
      <c r="B225" t="s">
        <v>172</v>
      </c>
      <c r="C225" t="s">
        <v>594</v>
      </c>
      <c r="D225" t="s">
        <v>595</v>
      </c>
      <c r="E225" t="s">
        <v>514</v>
      </c>
      <c r="F225" t="s">
        <v>140</v>
      </c>
      <c r="G225" t="s">
        <v>29</v>
      </c>
      <c r="I225" t="s">
        <v>596</v>
      </c>
      <c r="J225" t="s">
        <v>422</v>
      </c>
      <c r="K225" t="s">
        <v>971</v>
      </c>
      <c r="L225" t="s">
        <v>937</v>
      </c>
    </row>
    <row r="226" spans="1:12" x14ac:dyDescent="0.35">
      <c r="A226" t="s">
        <v>113</v>
      </c>
      <c r="B226" t="s">
        <v>172</v>
      </c>
      <c r="C226" t="s">
        <v>597</v>
      </c>
      <c r="D226" t="s">
        <v>598</v>
      </c>
      <c r="E226" t="s">
        <v>116</v>
      </c>
      <c r="F226" t="s">
        <v>116</v>
      </c>
      <c r="G226" t="s">
        <v>175</v>
      </c>
      <c r="L226" t="s">
        <v>937</v>
      </c>
    </row>
    <row r="227" spans="1:12" x14ac:dyDescent="0.35">
      <c r="A227" t="s">
        <v>113</v>
      </c>
      <c r="B227" t="s">
        <v>172</v>
      </c>
      <c r="C227" t="s">
        <v>540</v>
      </c>
      <c r="D227" t="s">
        <v>599</v>
      </c>
      <c r="F227" t="s">
        <v>116</v>
      </c>
      <c r="G227" t="s">
        <v>175</v>
      </c>
      <c r="I227" t="s">
        <v>545</v>
      </c>
      <c r="J227" t="s">
        <v>443</v>
      </c>
      <c r="L227" t="s">
        <v>937</v>
      </c>
    </row>
    <row r="228" spans="1:12" x14ac:dyDescent="0.35">
      <c r="A228" t="s">
        <v>113</v>
      </c>
      <c r="B228" t="s">
        <v>172</v>
      </c>
      <c r="C228" t="s">
        <v>540</v>
      </c>
      <c r="D228" t="s">
        <v>599</v>
      </c>
      <c r="F228" t="s">
        <v>116</v>
      </c>
      <c r="G228" t="s">
        <v>175</v>
      </c>
      <c r="I228" t="s">
        <v>543</v>
      </c>
      <c r="J228" t="s">
        <v>443</v>
      </c>
      <c r="L228" t="s">
        <v>937</v>
      </c>
    </row>
    <row r="229" spans="1:12" x14ac:dyDescent="0.35">
      <c r="A229" t="s">
        <v>113</v>
      </c>
      <c r="B229" t="s">
        <v>172</v>
      </c>
      <c r="C229" t="s">
        <v>540</v>
      </c>
      <c r="D229" t="s">
        <v>599</v>
      </c>
      <c r="F229" t="s">
        <v>116</v>
      </c>
      <c r="G229" t="s">
        <v>175</v>
      </c>
      <c r="I229" t="s">
        <v>541</v>
      </c>
      <c r="J229" t="s">
        <v>443</v>
      </c>
      <c r="L229" t="s">
        <v>937</v>
      </c>
    </row>
    <row r="230" spans="1:12" x14ac:dyDescent="0.35">
      <c r="A230" t="s">
        <v>113</v>
      </c>
      <c r="B230" t="s">
        <v>172</v>
      </c>
      <c r="C230" t="s">
        <v>540</v>
      </c>
      <c r="D230" t="s">
        <v>599</v>
      </c>
      <c r="F230" t="s">
        <v>116</v>
      </c>
      <c r="G230" t="s">
        <v>175</v>
      </c>
      <c r="I230" t="s">
        <v>538</v>
      </c>
      <c r="J230" t="s">
        <v>443</v>
      </c>
      <c r="L230" t="s">
        <v>937</v>
      </c>
    </row>
    <row r="231" spans="1:12" x14ac:dyDescent="0.35">
      <c r="A231" t="s">
        <v>113</v>
      </c>
      <c r="B231" t="s">
        <v>172</v>
      </c>
      <c r="C231" t="s">
        <v>600</v>
      </c>
      <c r="D231" t="s">
        <v>601</v>
      </c>
      <c r="E231" t="s">
        <v>116</v>
      </c>
      <c r="F231" t="s">
        <v>137</v>
      </c>
      <c r="G231" t="s">
        <v>243</v>
      </c>
      <c r="L231" t="s">
        <v>937</v>
      </c>
    </row>
    <row r="232" spans="1:12" x14ac:dyDescent="0.35">
      <c r="A232" t="s">
        <v>113</v>
      </c>
      <c r="B232" t="s">
        <v>172</v>
      </c>
      <c r="C232" t="s">
        <v>602</v>
      </c>
      <c r="D232" t="s">
        <v>603</v>
      </c>
      <c r="E232" t="s">
        <v>149</v>
      </c>
      <c r="F232" t="s">
        <v>137</v>
      </c>
      <c r="G232" t="s">
        <v>29</v>
      </c>
      <c r="I232" t="s">
        <v>606</v>
      </c>
      <c r="J232" t="s">
        <v>168</v>
      </c>
      <c r="L232" t="s">
        <v>937</v>
      </c>
    </row>
    <row r="233" spans="1:12" x14ac:dyDescent="0.35">
      <c r="A233" t="s">
        <v>113</v>
      </c>
      <c r="B233" t="s">
        <v>172</v>
      </c>
      <c r="C233" t="s">
        <v>602</v>
      </c>
      <c r="D233" t="s">
        <v>603</v>
      </c>
      <c r="E233" t="s">
        <v>149</v>
      </c>
      <c r="F233" t="s">
        <v>137</v>
      </c>
      <c r="G233" t="s">
        <v>29</v>
      </c>
      <c r="I233" t="s">
        <v>926</v>
      </c>
      <c r="J233" t="s">
        <v>422</v>
      </c>
      <c r="L233" t="s">
        <v>937</v>
      </c>
    </row>
    <row r="234" spans="1:12" x14ac:dyDescent="0.35">
      <c r="A234" t="s">
        <v>113</v>
      </c>
      <c r="B234" t="s">
        <v>172</v>
      </c>
      <c r="C234" t="s">
        <v>604</v>
      </c>
      <c r="D234" t="s">
        <v>605</v>
      </c>
      <c r="E234" t="s">
        <v>149</v>
      </c>
      <c r="F234" t="s">
        <v>137</v>
      </c>
      <c r="G234" t="s">
        <v>29</v>
      </c>
      <c r="I234" t="s">
        <v>606</v>
      </c>
      <c r="J234" t="s">
        <v>168</v>
      </c>
      <c r="L234" t="s">
        <v>937</v>
      </c>
    </row>
    <row r="235" spans="1:12" x14ac:dyDescent="0.35">
      <c r="A235" t="s">
        <v>113</v>
      </c>
      <c r="B235" t="s">
        <v>172</v>
      </c>
      <c r="C235" t="s">
        <v>607</v>
      </c>
      <c r="D235" t="s">
        <v>608</v>
      </c>
      <c r="E235" t="s">
        <v>149</v>
      </c>
      <c r="F235" t="s">
        <v>137</v>
      </c>
      <c r="G235" t="s">
        <v>29</v>
      </c>
      <c r="I235" t="s">
        <v>606</v>
      </c>
      <c r="J235" t="s">
        <v>168</v>
      </c>
      <c r="L235" t="s">
        <v>937</v>
      </c>
    </row>
    <row r="236" spans="1:12" x14ac:dyDescent="0.35">
      <c r="A236" t="s">
        <v>113</v>
      </c>
      <c r="B236" t="s">
        <v>172</v>
      </c>
      <c r="C236" t="s">
        <v>607</v>
      </c>
      <c r="D236" t="s">
        <v>608</v>
      </c>
      <c r="E236" t="s">
        <v>149</v>
      </c>
      <c r="F236" t="s">
        <v>137</v>
      </c>
      <c r="G236" t="s">
        <v>29</v>
      </c>
      <c r="I236" t="s">
        <v>927</v>
      </c>
      <c r="J236" t="s">
        <v>422</v>
      </c>
      <c r="L236" t="s">
        <v>937</v>
      </c>
    </row>
    <row r="237" spans="1:12" x14ac:dyDescent="0.35">
      <c r="A237" t="s">
        <v>113</v>
      </c>
      <c r="B237" t="s">
        <v>172</v>
      </c>
      <c r="C237" t="s">
        <v>609</v>
      </c>
      <c r="D237" t="s">
        <v>610</v>
      </c>
      <c r="E237" t="s">
        <v>149</v>
      </c>
      <c r="F237" t="s">
        <v>137</v>
      </c>
      <c r="G237" t="s">
        <v>29</v>
      </c>
      <c r="L237" t="s">
        <v>937</v>
      </c>
    </row>
    <row r="238" spans="1:12" x14ac:dyDescent="0.35">
      <c r="A238" t="s">
        <v>113</v>
      </c>
      <c r="B238" t="s">
        <v>172</v>
      </c>
      <c r="C238" t="s">
        <v>611</v>
      </c>
      <c r="D238" t="s">
        <v>612</v>
      </c>
      <c r="E238" t="s">
        <v>149</v>
      </c>
      <c r="F238" t="s">
        <v>137</v>
      </c>
      <c r="G238" t="s">
        <v>29</v>
      </c>
      <c r="L238" t="s">
        <v>937</v>
      </c>
    </row>
    <row r="239" spans="1:12" x14ac:dyDescent="0.35">
      <c r="A239" t="s">
        <v>113</v>
      </c>
      <c r="B239" t="s">
        <v>172</v>
      </c>
      <c r="C239" t="s">
        <v>613</v>
      </c>
      <c r="D239" t="s">
        <v>614</v>
      </c>
      <c r="E239" t="s">
        <v>149</v>
      </c>
      <c r="F239" t="s">
        <v>137</v>
      </c>
      <c r="G239" t="s">
        <v>29</v>
      </c>
      <c r="L239" t="s">
        <v>937</v>
      </c>
    </row>
    <row r="240" spans="1:12" x14ac:dyDescent="0.35">
      <c r="A240" t="s">
        <v>113</v>
      </c>
      <c r="B240" t="s">
        <v>172</v>
      </c>
      <c r="C240" t="s">
        <v>615</v>
      </c>
      <c r="D240" t="s">
        <v>616</v>
      </c>
      <c r="E240" t="s">
        <v>149</v>
      </c>
      <c r="F240" t="s">
        <v>137</v>
      </c>
      <c r="G240" t="s">
        <v>29</v>
      </c>
      <c r="L240" t="s">
        <v>937</v>
      </c>
    </row>
    <row r="241" spans="1:12" x14ac:dyDescent="0.35">
      <c r="A241" t="s">
        <v>113</v>
      </c>
      <c r="B241" t="s">
        <v>172</v>
      </c>
      <c r="C241" t="s">
        <v>617</v>
      </c>
      <c r="D241" t="s">
        <v>618</v>
      </c>
      <c r="E241" t="s">
        <v>149</v>
      </c>
      <c r="F241" t="s">
        <v>137</v>
      </c>
      <c r="G241" t="s">
        <v>29</v>
      </c>
      <c r="L241" t="s">
        <v>937</v>
      </c>
    </row>
    <row r="242" spans="1:12" x14ac:dyDescent="0.35">
      <c r="A242" t="s">
        <v>113</v>
      </c>
      <c r="B242" t="s">
        <v>172</v>
      </c>
      <c r="C242" t="s">
        <v>619</v>
      </c>
      <c r="D242" t="s">
        <v>620</v>
      </c>
      <c r="E242" t="s">
        <v>149</v>
      </c>
      <c r="F242" t="s">
        <v>137</v>
      </c>
      <c r="G242" t="s">
        <v>29</v>
      </c>
      <c r="L242" t="s">
        <v>937</v>
      </c>
    </row>
    <row r="243" spans="1:12" x14ac:dyDescent="0.35">
      <c r="A243" t="s">
        <v>113</v>
      </c>
      <c r="B243" t="s">
        <v>172</v>
      </c>
      <c r="C243" t="s">
        <v>621</v>
      </c>
      <c r="D243" t="s">
        <v>622</v>
      </c>
      <c r="E243" t="s">
        <v>510</v>
      </c>
      <c r="F243" t="s">
        <v>140</v>
      </c>
      <c r="G243" t="s">
        <v>210</v>
      </c>
      <c r="K243" t="s">
        <v>971</v>
      </c>
      <c r="L243" t="s">
        <v>937</v>
      </c>
    </row>
    <row r="244" spans="1:12" x14ac:dyDescent="0.35">
      <c r="A244" t="s">
        <v>113</v>
      </c>
      <c r="B244" t="s">
        <v>172</v>
      </c>
      <c r="C244" t="s">
        <v>623</v>
      </c>
      <c r="D244" t="s">
        <v>624</v>
      </c>
      <c r="E244" t="s">
        <v>149</v>
      </c>
      <c r="F244" t="s">
        <v>137</v>
      </c>
      <c r="G244" t="s">
        <v>175</v>
      </c>
      <c r="L244" t="s">
        <v>937</v>
      </c>
    </row>
    <row r="245" spans="1:12" x14ac:dyDescent="0.35">
      <c r="A245" t="s">
        <v>113</v>
      </c>
      <c r="B245" t="s">
        <v>172</v>
      </c>
      <c r="C245" t="s">
        <v>625</v>
      </c>
      <c r="D245" t="s">
        <v>626</v>
      </c>
      <c r="E245" t="s">
        <v>149</v>
      </c>
      <c r="F245" t="s">
        <v>137</v>
      </c>
      <c r="G245" t="s">
        <v>29</v>
      </c>
      <c r="L245" t="s">
        <v>937</v>
      </c>
    </row>
    <row r="246" spans="1:12" x14ac:dyDescent="0.35">
      <c r="A246" t="s">
        <v>113</v>
      </c>
      <c r="B246" t="s">
        <v>172</v>
      </c>
      <c r="C246" t="s">
        <v>627</v>
      </c>
      <c r="D246" t="s">
        <v>628</v>
      </c>
      <c r="E246" t="s">
        <v>149</v>
      </c>
      <c r="F246" t="s">
        <v>137</v>
      </c>
      <c r="G246" t="s">
        <v>29</v>
      </c>
      <c r="L246" t="s">
        <v>937</v>
      </c>
    </row>
    <row r="247" spans="1:12" x14ac:dyDescent="0.35">
      <c r="A247" t="s">
        <v>113</v>
      </c>
      <c r="B247" t="s">
        <v>172</v>
      </c>
      <c r="C247" t="s">
        <v>629</v>
      </c>
      <c r="D247" t="s">
        <v>628</v>
      </c>
      <c r="E247" t="s">
        <v>149</v>
      </c>
      <c r="F247" t="s">
        <v>137</v>
      </c>
      <c r="G247" t="s">
        <v>29</v>
      </c>
      <c r="L247" t="s">
        <v>937</v>
      </c>
    </row>
    <row r="248" spans="1:12" x14ac:dyDescent="0.35">
      <c r="A248" t="s">
        <v>113</v>
      </c>
      <c r="B248" t="s">
        <v>172</v>
      </c>
      <c r="C248" t="s">
        <v>630</v>
      </c>
      <c r="D248" t="s">
        <v>631</v>
      </c>
      <c r="E248" t="s">
        <v>149</v>
      </c>
      <c r="F248" t="s">
        <v>137</v>
      </c>
      <c r="G248" t="s">
        <v>29</v>
      </c>
      <c r="L248" t="s">
        <v>937</v>
      </c>
    </row>
    <row r="249" spans="1:12" x14ac:dyDescent="0.35">
      <c r="A249" t="s">
        <v>113</v>
      </c>
      <c r="B249" t="s">
        <v>172</v>
      </c>
      <c r="C249" t="s">
        <v>632</v>
      </c>
      <c r="D249" t="s">
        <v>633</v>
      </c>
      <c r="E249" t="s">
        <v>149</v>
      </c>
      <c r="F249" t="s">
        <v>137</v>
      </c>
      <c r="G249" t="s">
        <v>29</v>
      </c>
      <c r="L249" t="s">
        <v>937</v>
      </c>
    </row>
    <row r="250" spans="1:12" x14ac:dyDescent="0.35">
      <c r="A250" t="s">
        <v>113</v>
      </c>
      <c r="B250" t="s">
        <v>172</v>
      </c>
      <c r="C250" t="s">
        <v>634</v>
      </c>
      <c r="D250" t="s">
        <v>635</v>
      </c>
      <c r="E250" t="s">
        <v>149</v>
      </c>
      <c r="F250" t="s">
        <v>137</v>
      </c>
      <c r="G250" t="s">
        <v>29</v>
      </c>
      <c r="L250" t="s">
        <v>937</v>
      </c>
    </row>
    <row r="251" spans="1:12" x14ac:dyDescent="0.35">
      <c r="A251" t="s">
        <v>113</v>
      </c>
      <c r="B251" t="s">
        <v>172</v>
      </c>
      <c r="C251" t="s">
        <v>636</v>
      </c>
      <c r="D251" t="s">
        <v>637</v>
      </c>
      <c r="E251" t="s">
        <v>149</v>
      </c>
      <c r="F251" t="s">
        <v>137</v>
      </c>
      <c r="G251" t="s">
        <v>29</v>
      </c>
      <c r="L251" t="s">
        <v>937</v>
      </c>
    </row>
    <row r="252" spans="1:12" x14ac:dyDescent="0.35">
      <c r="A252" t="s">
        <v>113</v>
      </c>
      <c r="B252" t="s">
        <v>172</v>
      </c>
      <c r="C252" t="s">
        <v>638</v>
      </c>
      <c r="D252" t="s">
        <v>639</v>
      </c>
      <c r="E252" t="s">
        <v>149</v>
      </c>
      <c r="F252" t="s">
        <v>137</v>
      </c>
      <c r="G252" t="s">
        <v>29</v>
      </c>
      <c r="L252" t="s">
        <v>937</v>
      </c>
    </row>
    <row r="253" spans="1:12" x14ac:dyDescent="0.35">
      <c r="A253" t="s">
        <v>113</v>
      </c>
      <c r="B253" t="s">
        <v>172</v>
      </c>
      <c r="C253" t="s">
        <v>640</v>
      </c>
      <c r="D253" t="s">
        <v>641</v>
      </c>
      <c r="E253" t="s">
        <v>149</v>
      </c>
      <c r="F253" t="s">
        <v>137</v>
      </c>
      <c r="G253" t="s">
        <v>29</v>
      </c>
      <c r="L253" t="s">
        <v>937</v>
      </c>
    </row>
    <row r="254" spans="1:12" x14ac:dyDescent="0.35">
      <c r="A254" t="s">
        <v>113</v>
      </c>
      <c r="B254" t="s">
        <v>172</v>
      </c>
      <c r="C254" t="s">
        <v>642</v>
      </c>
      <c r="D254" t="s">
        <v>643</v>
      </c>
      <c r="E254" t="s">
        <v>149</v>
      </c>
      <c r="F254" t="s">
        <v>137</v>
      </c>
      <c r="G254" t="s">
        <v>29</v>
      </c>
      <c r="L254" t="s">
        <v>937</v>
      </c>
    </row>
    <row r="255" spans="1:12" x14ac:dyDescent="0.35">
      <c r="A255" t="s">
        <v>113</v>
      </c>
      <c r="B255" t="s">
        <v>172</v>
      </c>
      <c r="C255" t="s">
        <v>644</v>
      </c>
      <c r="D255" t="s">
        <v>645</v>
      </c>
      <c r="E255" t="s">
        <v>149</v>
      </c>
      <c r="F255" t="s">
        <v>137</v>
      </c>
      <c r="G255" t="s">
        <v>29</v>
      </c>
      <c r="L255" t="s">
        <v>937</v>
      </c>
    </row>
    <row r="256" spans="1:12" x14ac:dyDescent="0.35">
      <c r="A256" t="s">
        <v>113</v>
      </c>
      <c r="B256" t="s">
        <v>172</v>
      </c>
      <c r="C256" t="s">
        <v>646</v>
      </c>
      <c r="D256" t="s">
        <v>647</v>
      </c>
      <c r="E256" t="s">
        <v>149</v>
      </c>
      <c r="F256" t="s">
        <v>137</v>
      </c>
      <c r="G256" t="s">
        <v>29</v>
      </c>
      <c r="L256" t="s">
        <v>937</v>
      </c>
    </row>
    <row r="257" spans="1:12" x14ac:dyDescent="0.35">
      <c r="A257" t="s">
        <v>113</v>
      </c>
      <c r="B257" t="s">
        <v>172</v>
      </c>
      <c r="C257" t="s">
        <v>648</v>
      </c>
      <c r="D257" t="s">
        <v>649</v>
      </c>
      <c r="E257" t="s">
        <v>149</v>
      </c>
      <c r="F257" t="s">
        <v>137</v>
      </c>
      <c r="G257" t="s">
        <v>29</v>
      </c>
      <c r="L257" t="s">
        <v>937</v>
      </c>
    </row>
    <row r="258" spans="1:12" x14ac:dyDescent="0.35">
      <c r="A258" t="s">
        <v>113</v>
      </c>
      <c r="B258" t="s">
        <v>172</v>
      </c>
      <c r="C258" t="s">
        <v>650</v>
      </c>
      <c r="D258" t="s">
        <v>651</v>
      </c>
      <c r="E258" t="s">
        <v>149</v>
      </c>
      <c r="F258" t="s">
        <v>137</v>
      </c>
      <c r="G258" t="s">
        <v>29</v>
      </c>
      <c r="L258" t="s">
        <v>937</v>
      </c>
    </row>
    <row r="259" spans="1:12" x14ac:dyDescent="0.35">
      <c r="A259" t="s">
        <v>113</v>
      </c>
      <c r="B259" t="s">
        <v>172</v>
      </c>
      <c r="C259" t="s">
        <v>652</v>
      </c>
      <c r="D259" t="s">
        <v>653</v>
      </c>
      <c r="E259" t="s">
        <v>149</v>
      </c>
      <c r="F259" t="s">
        <v>137</v>
      </c>
      <c r="G259" t="s">
        <v>29</v>
      </c>
      <c r="L259" t="s">
        <v>937</v>
      </c>
    </row>
    <row r="260" spans="1:12" x14ac:dyDescent="0.35">
      <c r="A260" t="s">
        <v>113</v>
      </c>
      <c r="B260" t="s">
        <v>172</v>
      </c>
      <c r="C260" t="s">
        <v>654</v>
      </c>
      <c r="D260" t="s">
        <v>655</v>
      </c>
      <c r="E260" t="s">
        <v>149</v>
      </c>
      <c r="F260" t="s">
        <v>137</v>
      </c>
      <c r="G260" t="s">
        <v>29</v>
      </c>
      <c r="L260" t="s">
        <v>937</v>
      </c>
    </row>
    <row r="261" spans="1:12" x14ac:dyDescent="0.35">
      <c r="A261" t="s">
        <v>113</v>
      </c>
      <c r="B261" t="s">
        <v>172</v>
      </c>
      <c r="C261" t="s">
        <v>656</v>
      </c>
      <c r="D261" t="s">
        <v>657</v>
      </c>
      <c r="E261" t="s">
        <v>149</v>
      </c>
      <c r="F261" t="s">
        <v>137</v>
      </c>
      <c r="G261" t="s">
        <v>29</v>
      </c>
      <c r="L261" t="s">
        <v>937</v>
      </c>
    </row>
    <row r="262" spans="1:12" x14ac:dyDescent="0.35">
      <c r="A262" t="s">
        <v>113</v>
      </c>
      <c r="B262" t="s">
        <v>172</v>
      </c>
      <c r="C262" t="s">
        <v>658</v>
      </c>
      <c r="D262" t="s">
        <v>659</v>
      </c>
      <c r="E262" t="s">
        <v>149</v>
      </c>
      <c r="F262" t="s">
        <v>137</v>
      </c>
      <c r="G262" t="s">
        <v>29</v>
      </c>
      <c r="L262" t="s">
        <v>937</v>
      </c>
    </row>
    <row r="263" spans="1:12" x14ac:dyDescent="0.35">
      <c r="A263" t="s">
        <v>113</v>
      </c>
      <c r="B263" t="s">
        <v>172</v>
      </c>
      <c r="C263" t="s">
        <v>660</v>
      </c>
      <c r="D263" t="s">
        <v>661</v>
      </c>
      <c r="E263" t="s">
        <v>149</v>
      </c>
      <c r="F263" t="s">
        <v>137</v>
      </c>
      <c r="G263" t="s">
        <v>29</v>
      </c>
      <c r="L263" t="s">
        <v>937</v>
      </c>
    </row>
    <row r="264" spans="1:12" x14ac:dyDescent="0.35">
      <c r="A264" t="s">
        <v>113</v>
      </c>
      <c r="B264" t="s">
        <v>172</v>
      </c>
      <c r="C264" t="s">
        <v>662</v>
      </c>
      <c r="D264" t="s">
        <v>663</v>
      </c>
      <c r="E264" t="s">
        <v>149</v>
      </c>
      <c r="F264" t="s">
        <v>137</v>
      </c>
      <c r="G264" t="s">
        <v>29</v>
      </c>
      <c r="L264" t="s">
        <v>937</v>
      </c>
    </row>
    <row r="265" spans="1:12" x14ac:dyDescent="0.35">
      <c r="A265" t="s">
        <v>113</v>
      </c>
      <c r="B265" t="s">
        <v>172</v>
      </c>
      <c r="C265" t="s">
        <v>664</v>
      </c>
      <c r="D265" t="s">
        <v>665</v>
      </c>
      <c r="E265" t="s">
        <v>149</v>
      </c>
      <c r="F265" t="s">
        <v>137</v>
      </c>
      <c r="G265" t="s">
        <v>29</v>
      </c>
      <c r="L265" t="s">
        <v>937</v>
      </c>
    </row>
    <row r="266" spans="1:12" x14ac:dyDescent="0.35">
      <c r="A266" t="s">
        <v>113</v>
      </c>
      <c r="B266" t="s">
        <v>172</v>
      </c>
      <c r="C266" t="s">
        <v>666</v>
      </c>
      <c r="D266" t="s">
        <v>667</v>
      </c>
      <c r="E266" t="s">
        <v>149</v>
      </c>
      <c r="F266" t="s">
        <v>137</v>
      </c>
      <c r="G266" t="s">
        <v>175</v>
      </c>
      <c r="L266" t="s">
        <v>937</v>
      </c>
    </row>
    <row r="267" spans="1:12" x14ac:dyDescent="0.35">
      <c r="A267" t="s">
        <v>113</v>
      </c>
      <c r="B267" t="s">
        <v>172</v>
      </c>
      <c r="C267" t="s">
        <v>668</v>
      </c>
      <c r="D267" t="s">
        <v>669</v>
      </c>
      <c r="E267" t="s">
        <v>149</v>
      </c>
      <c r="F267" t="s">
        <v>137</v>
      </c>
      <c r="G267" t="s">
        <v>29</v>
      </c>
      <c r="L267" t="s">
        <v>937</v>
      </c>
    </row>
    <row r="268" spans="1:12" x14ac:dyDescent="0.35">
      <c r="A268" t="s">
        <v>113</v>
      </c>
      <c r="B268" t="s">
        <v>172</v>
      </c>
      <c r="C268" t="s">
        <v>670</v>
      </c>
      <c r="D268" t="s">
        <v>671</v>
      </c>
      <c r="E268" t="s">
        <v>149</v>
      </c>
      <c r="F268" t="s">
        <v>137</v>
      </c>
      <c r="G268" t="s">
        <v>29</v>
      </c>
      <c r="L268" t="s">
        <v>937</v>
      </c>
    </row>
    <row r="269" spans="1:12" x14ac:dyDescent="0.35">
      <c r="A269" t="s">
        <v>113</v>
      </c>
      <c r="B269" t="s">
        <v>172</v>
      </c>
      <c r="C269" t="s">
        <v>672</v>
      </c>
      <c r="D269" t="s">
        <v>673</v>
      </c>
      <c r="E269" t="s">
        <v>149</v>
      </c>
      <c r="F269" t="s">
        <v>137</v>
      </c>
      <c r="G269" t="s">
        <v>29</v>
      </c>
      <c r="L269" t="s">
        <v>937</v>
      </c>
    </row>
    <row r="270" spans="1:12" x14ac:dyDescent="0.35">
      <c r="A270" t="s">
        <v>113</v>
      </c>
      <c r="B270" t="s">
        <v>172</v>
      </c>
      <c r="C270" t="s">
        <v>674</v>
      </c>
      <c r="D270" t="s">
        <v>675</v>
      </c>
      <c r="E270" t="s">
        <v>149</v>
      </c>
      <c r="F270" t="s">
        <v>137</v>
      </c>
      <c r="G270" t="s">
        <v>29</v>
      </c>
      <c r="L270" t="s">
        <v>937</v>
      </c>
    </row>
    <row r="271" spans="1:12" x14ac:dyDescent="0.35">
      <c r="A271" t="s">
        <v>113</v>
      </c>
      <c r="B271" t="s">
        <v>172</v>
      </c>
      <c r="C271" t="s">
        <v>676</v>
      </c>
      <c r="D271" t="s">
        <v>677</v>
      </c>
      <c r="E271" t="s">
        <v>149</v>
      </c>
      <c r="F271" t="s">
        <v>137</v>
      </c>
      <c r="G271" t="s">
        <v>29</v>
      </c>
      <c r="L271" t="s">
        <v>937</v>
      </c>
    </row>
    <row r="272" spans="1:12" x14ac:dyDescent="0.35">
      <c r="A272" t="s">
        <v>113</v>
      </c>
      <c r="B272" t="s">
        <v>172</v>
      </c>
      <c r="C272" t="s">
        <v>678</v>
      </c>
      <c r="D272" t="s">
        <v>679</v>
      </c>
      <c r="E272" t="s">
        <v>149</v>
      </c>
      <c r="F272" t="s">
        <v>137</v>
      </c>
      <c r="G272" t="s">
        <v>29</v>
      </c>
      <c r="L272" t="s">
        <v>937</v>
      </c>
    </row>
    <row r="273" spans="1:12" x14ac:dyDescent="0.35">
      <c r="A273" t="s">
        <v>113</v>
      </c>
      <c r="B273" t="s">
        <v>172</v>
      </c>
      <c r="C273" t="s">
        <v>680</v>
      </c>
      <c r="D273" t="s">
        <v>681</v>
      </c>
      <c r="E273" t="s">
        <v>149</v>
      </c>
      <c r="F273" t="s">
        <v>137</v>
      </c>
      <c r="G273" t="s">
        <v>29</v>
      </c>
      <c r="L273" t="s">
        <v>937</v>
      </c>
    </row>
    <row r="274" spans="1:12" x14ac:dyDescent="0.35">
      <c r="A274" t="s">
        <v>113</v>
      </c>
      <c r="B274" t="s">
        <v>172</v>
      </c>
      <c r="C274" t="s">
        <v>682</v>
      </c>
      <c r="D274" t="s">
        <v>683</v>
      </c>
      <c r="E274" t="s">
        <v>149</v>
      </c>
      <c r="F274" t="s">
        <v>137</v>
      </c>
      <c r="G274" t="s">
        <v>29</v>
      </c>
      <c r="L274" t="s">
        <v>937</v>
      </c>
    </row>
    <row r="275" spans="1:12" x14ac:dyDescent="0.35">
      <c r="A275" t="s">
        <v>113</v>
      </c>
      <c r="B275" t="s">
        <v>172</v>
      </c>
      <c r="C275" t="s">
        <v>684</v>
      </c>
      <c r="D275" t="s">
        <v>685</v>
      </c>
      <c r="E275" t="s">
        <v>149</v>
      </c>
      <c r="F275" t="s">
        <v>137</v>
      </c>
      <c r="G275" t="s">
        <v>29</v>
      </c>
      <c r="L275" t="s">
        <v>937</v>
      </c>
    </row>
    <row r="276" spans="1:12" x14ac:dyDescent="0.35">
      <c r="A276" t="s">
        <v>113</v>
      </c>
      <c r="B276" t="s">
        <v>172</v>
      </c>
      <c r="C276" t="s">
        <v>686</v>
      </c>
      <c r="D276" t="s">
        <v>687</v>
      </c>
      <c r="E276" t="s">
        <v>149</v>
      </c>
      <c r="F276" t="s">
        <v>137</v>
      </c>
      <c r="G276" t="s">
        <v>29</v>
      </c>
      <c r="L276" t="s">
        <v>937</v>
      </c>
    </row>
    <row r="277" spans="1:12" x14ac:dyDescent="0.35">
      <c r="A277" t="s">
        <v>113</v>
      </c>
      <c r="B277" t="s">
        <v>172</v>
      </c>
      <c r="C277" t="s">
        <v>688</v>
      </c>
      <c r="D277" t="s">
        <v>689</v>
      </c>
      <c r="E277" t="s">
        <v>149</v>
      </c>
      <c r="F277" t="s">
        <v>137</v>
      </c>
      <c r="G277" t="s">
        <v>29</v>
      </c>
      <c r="L277" t="s">
        <v>937</v>
      </c>
    </row>
    <row r="278" spans="1:12" x14ac:dyDescent="0.35">
      <c r="A278" t="s">
        <v>113</v>
      </c>
      <c r="B278" t="s">
        <v>172</v>
      </c>
      <c r="C278" t="s">
        <v>690</v>
      </c>
      <c r="D278" t="s">
        <v>691</v>
      </c>
      <c r="E278" t="s">
        <v>149</v>
      </c>
      <c r="F278" t="s">
        <v>137</v>
      </c>
      <c r="G278" t="s">
        <v>29</v>
      </c>
      <c r="L278" t="s">
        <v>937</v>
      </c>
    </row>
    <row r="279" spans="1:12" x14ac:dyDescent="0.35">
      <c r="A279" t="s">
        <v>113</v>
      </c>
      <c r="B279" t="s">
        <v>172</v>
      </c>
      <c r="C279" t="s">
        <v>692</v>
      </c>
      <c r="D279" t="s">
        <v>693</v>
      </c>
      <c r="E279" t="s">
        <v>149</v>
      </c>
      <c r="F279" t="s">
        <v>137</v>
      </c>
      <c r="G279" t="s">
        <v>29</v>
      </c>
      <c r="L279" t="s">
        <v>937</v>
      </c>
    </row>
    <row r="280" spans="1:12" x14ac:dyDescent="0.35">
      <c r="A280" t="s">
        <v>113</v>
      </c>
      <c r="B280" t="s">
        <v>172</v>
      </c>
      <c r="C280" t="s">
        <v>694</v>
      </c>
      <c r="D280" t="s">
        <v>695</v>
      </c>
      <c r="E280" t="s">
        <v>149</v>
      </c>
      <c r="F280" t="s">
        <v>137</v>
      </c>
      <c r="G280" t="s">
        <v>29</v>
      </c>
      <c r="L280" t="s">
        <v>937</v>
      </c>
    </row>
    <row r="281" spans="1:12" x14ac:dyDescent="0.35">
      <c r="A281" t="s">
        <v>113</v>
      </c>
      <c r="B281" t="s">
        <v>172</v>
      </c>
      <c r="C281" t="s">
        <v>696</v>
      </c>
      <c r="D281" t="s">
        <v>697</v>
      </c>
      <c r="E281" t="s">
        <v>149</v>
      </c>
      <c r="F281" t="s">
        <v>137</v>
      </c>
      <c r="G281" t="s">
        <v>29</v>
      </c>
      <c r="L281" t="s">
        <v>937</v>
      </c>
    </row>
    <row r="282" spans="1:12" x14ac:dyDescent="0.35">
      <c r="A282" t="s">
        <v>113</v>
      </c>
      <c r="B282" t="s">
        <v>172</v>
      </c>
      <c r="C282" t="s">
        <v>698</v>
      </c>
      <c r="D282" t="s">
        <v>699</v>
      </c>
      <c r="E282" t="s">
        <v>149</v>
      </c>
      <c r="F282" t="s">
        <v>137</v>
      </c>
      <c r="G282" t="s">
        <v>29</v>
      </c>
      <c r="L282" t="s">
        <v>937</v>
      </c>
    </row>
    <row r="283" spans="1:12" x14ac:dyDescent="0.35">
      <c r="A283" t="s">
        <v>113</v>
      </c>
      <c r="B283" t="s">
        <v>172</v>
      </c>
      <c r="C283" t="s">
        <v>700</v>
      </c>
      <c r="D283" t="s">
        <v>701</v>
      </c>
      <c r="E283" t="s">
        <v>149</v>
      </c>
      <c r="F283" t="s">
        <v>137</v>
      </c>
      <c r="G283" t="s">
        <v>29</v>
      </c>
      <c r="L283" t="s">
        <v>937</v>
      </c>
    </row>
    <row r="284" spans="1:12" x14ac:dyDescent="0.35">
      <c r="A284" t="s">
        <v>113</v>
      </c>
      <c r="B284" t="s">
        <v>172</v>
      </c>
      <c r="C284" t="s">
        <v>702</v>
      </c>
      <c r="D284" t="s">
        <v>703</v>
      </c>
      <c r="E284" t="s">
        <v>149</v>
      </c>
      <c r="F284" t="s">
        <v>137</v>
      </c>
      <c r="G284" t="s">
        <v>29</v>
      </c>
      <c r="L284" t="s">
        <v>937</v>
      </c>
    </row>
    <row r="285" spans="1:12" x14ac:dyDescent="0.35">
      <c r="A285" t="s">
        <v>113</v>
      </c>
      <c r="B285" t="s">
        <v>172</v>
      </c>
      <c r="C285" t="s">
        <v>704</v>
      </c>
      <c r="D285" t="s">
        <v>705</v>
      </c>
      <c r="E285" t="s">
        <v>149</v>
      </c>
      <c r="F285" t="s">
        <v>137</v>
      </c>
      <c r="G285" t="s">
        <v>29</v>
      </c>
      <c r="L285" t="s">
        <v>937</v>
      </c>
    </row>
    <row r="286" spans="1:12" x14ac:dyDescent="0.35">
      <c r="A286" t="s">
        <v>113</v>
      </c>
      <c r="B286" t="s">
        <v>172</v>
      </c>
      <c r="C286" t="s">
        <v>706</v>
      </c>
      <c r="D286" t="s">
        <v>707</v>
      </c>
      <c r="E286" t="s">
        <v>149</v>
      </c>
      <c r="F286" t="s">
        <v>137</v>
      </c>
      <c r="G286" t="s">
        <v>29</v>
      </c>
      <c r="L286" t="s">
        <v>937</v>
      </c>
    </row>
    <row r="287" spans="1:12" x14ac:dyDescent="0.35">
      <c r="A287" t="s">
        <v>113</v>
      </c>
      <c r="B287" t="s">
        <v>172</v>
      </c>
      <c r="C287" t="s">
        <v>708</v>
      </c>
      <c r="D287" t="s">
        <v>709</v>
      </c>
      <c r="E287" t="s">
        <v>149</v>
      </c>
      <c r="F287" t="s">
        <v>137</v>
      </c>
      <c r="G287" t="s">
        <v>29</v>
      </c>
      <c r="L287" t="s">
        <v>937</v>
      </c>
    </row>
    <row r="288" spans="1:12" x14ac:dyDescent="0.35">
      <c r="A288" t="s">
        <v>113</v>
      </c>
      <c r="B288" t="s">
        <v>172</v>
      </c>
      <c r="C288" t="s">
        <v>710</v>
      </c>
      <c r="D288" t="s">
        <v>711</v>
      </c>
      <c r="E288" t="s">
        <v>149</v>
      </c>
      <c r="F288" t="s">
        <v>137</v>
      </c>
      <c r="G288" t="s">
        <v>29</v>
      </c>
      <c r="I288" t="s">
        <v>712</v>
      </c>
      <c r="J288" t="s">
        <v>168</v>
      </c>
      <c r="L288" t="s">
        <v>937</v>
      </c>
    </row>
    <row r="289" spans="1:12" x14ac:dyDescent="0.35">
      <c r="A289" t="s">
        <v>113</v>
      </c>
      <c r="B289" t="s">
        <v>172</v>
      </c>
      <c r="C289" t="s">
        <v>712</v>
      </c>
      <c r="D289" t="s">
        <v>713</v>
      </c>
      <c r="E289" t="s">
        <v>149</v>
      </c>
      <c r="F289" t="s">
        <v>137</v>
      </c>
      <c r="G289" t="s">
        <v>29</v>
      </c>
      <c r="I289" t="s">
        <v>710</v>
      </c>
      <c r="J289" t="s">
        <v>170</v>
      </c>
      <c r="L289" t="s">
        <v>937</v>
      </c>
    </row>
    <row r="290" spans="1:12" x14ac:dyDescent="0.35">
      <c r="A290" t="s">
        <v>113</v>
      </c>
      <c r="B290" t="s">
        <v>172</v>
      </c>
      <c r="C290" t="s">
        <v>714</v>
      </c>
      <c r="D290" t="s">
        <v>715</v>
      </c>
      <c r="E290" t="s">
        <v>149</v>
      </c>
      <c r="F290" t="s">
        <v>137</v>
      </c>
      <c r="G290" t="s">
        <v>29</v>
      </c>
      <c r="L290" t="s">
        <v>937</v>
      </c>
    </row>
    <row r="291" spans="1:12" x14ac:dyDescent="0.35">
      <c r="A291" t="s">
        <v>113</v>
      </c>
      <c r="B291" t="s">
        <v>172</v>
      </c>
      <c r="C291" t="s">
        <v>716</v>
      </c>
      <c r="D291" t="s">
        <v>717</v>
      </c>
      <c r="E291" t="s">
        <v>149</v>
      </c>
      <c r="F291" t="s">
        <v>137</v>
      </c>
      <c r="G291" t="s">
        <v>29</v>
      </c>
      <c r="L291" t="s">
        <v>937</v>
      </c>
    </row>
    <row r="292" spans="1:12" x14ac:dyDescent="0.35">
      <c r="A292" t="s">
        <v>113</v>
      </c>
      <c r="B292" t="s">
        <v>172</v>
      </c>
      <c r="C292" t="s">
        <v>718</v>
      </c>
      <c r="D292" t="s">
        <v>719</v>
      </c>
      <c r="E292" t="s">
        <v>149</v>
      </c>
      <c r="F292" t="s">
        <v>137</v>
      </c>
      <c r="G292" t="s">
        <v>29</v>
      </c>
      <c r="L292" t="s">
        <v>937</v>
      </c>
    </row>
    <row r="293" spans="1:12" x14ac:dyDescent="0.35">
      <c r="A293" t="s">
        <v>113</v>
      </c>
      <c r="B293" t="s">
        <v>172</v>
      </c>
      <c r="C293" t="s">
        <v>720</v>
      </c>
      <c r="D293" t="s">
        <v>721</v>
      </c>
      <c r="E293" t="s">
        <v>149</v>
      </c>
      <c r="F293" t="s">
        <v>137</v>
      </c>
      <c r="G293" t="s">
        <v>29</v>
      </c>
      <c r="L293" t="s">
        <v>937</v>
      </c>
    </row>
    <row r="294" spans="1:12" x14ac:dyDescent="0.35">
      <c r="A294" t="s">
        <v>113</v>
      </c>
      <c r="B294" t="s">
        <v>172</v>
      </c>
      <c r="C294" t="s">
        <v>722</v>
      </c>
      <c r="D294" t="s">
        <v>723</v>
      </c>
      <c r="E294" t="s">
        <v>149</v>
      </c>
      <c r="F294" t="s">
        <v>137</v>
      </c>
      <c r="G294" t="s">
        <v>29</v>
      </c>
      <c r="L294" t="s">
        <v>937</v>
      </c>
    </row>
    <row r="295" spans="1:12" x14ac:dyDescent="0.35">
      <c r="A295" t="s">
        <v>113</v>
      </c>
      <c r="B295" t="s">
        <v>172</v>
      </c>
      <c r="C295" t="s">
        <v>928</v>
      </c>
      <c r="D295" t="s">
        <v>929</v>
      </c>
      <c r="E295" t="s">
        <v>510</v>
      </c>
      <c r="F295" t="s">
        <v>116</v>
      </c>
      <c r="G295" t="s">
        <v>248</v>
      </c>
      <c r="I295" t="s">
        <v>930</v>
      </c>
      <c r="J295" t="s">
        <v>168</v>
      </c>
      <c r="K295" t="s">
        <v>972</v>
      </c>
      <c r="L295" t="s">
        <v>937</v>
      </c>
    </row>
    <row r="296" spans="1:12" x14ac:dyDescent="0.35">
      <c r="A296" t="s">
        <v>113</v>
      </c>
      <c r="B296" t="s">
        <v>172</v>
      </c>
      <c r="C296" t="s">
        <v>724</v>
      </c>
      <c r="D296" t="s">
        <v>725</v>
      </c>
      <c r="E296" t="s">
        <v>149</v>
      </c>
      <c r="F296" t="s">
        <v>137</v>
      </c>
      <c r="G296" t="s">
        <v>29</v>
      </c>
      <c r="L296" t="s">
        <v>937</v>
      </c>
    </row>
    <row r="297" spans="1:12" x14ac:dyDescent="0.35">
      <c r="A297" t="s">
        <v>113</v>
      </c>
      <c r="B297" t="s">
        <v>172</v>
      </c>
      <c r="C297" t="s">
        <v>726</v>
      </c>
      <c r="D297" t="s">
        <v>727</v>
      </c>
      <c r="E297" t="s">
        <v>149</v>
      </c>
      <c r="F297" t="s">
        <v>137</v>
      </c>
      <c r="G297" t="s">
        <v>29</v>
      </c>
      <c r="L297" t="s">
        <v>937</v>
      </c>
    </row>
    <row r="298" spans="1:12" x14ac:dyDescent="0.35">
      <c r="A298" t="s">
        <v>113</v>
      </c>
      <c r="B298" t="s">
        <v>172</v>
      </c>
      <c r="C298" t="s">
        <v>728</v>
      </c>
      <c r="D298" t="s">
        <v>729</v>
      </c>
      <c r="E298" t="s">
        <v>149</v>
      </c>
      <c r="F298" t="s">
        <v>137</v>
      </c>
      <c r="G298" t="s">
        <v>29</v>
      </c>
      <c r="L298" t="s">
        <v>937</v>
      </c>
    </row>
    <row r="299" spans="1:12" x14ac:dyDescent="0.35">
      <c r="A299" t="s">
        <v>113</v>
      </c>
      <c r="B299" t="s">
        <v>172</v>
      </c>
      <c r="C299" t="s">
        <v>730</v>
      </c>
      <c r="D299" t="s">
        <v>731</v>
      </c>
      <c r="E299" t="s">
        <v>149</v>
      </c>
      <c r="F299" t="s">
        <v>137</v>
      </c>
      <c r="G299" t="s">
        <v>29</v>
      </c>
      <c r="L299" t="s">
        <v>937</v>
      </c>
    </row>
    <row r="300" spans="1:12" x14ac:dyDescent="0.35">
      <c r="A300" t="s">
        <v>113</v>
      </c>
      <c r="B300" t="s">
        <v>172</v>
      </c>
      <c r="C300" t="s">
        <v>732</v>
      </c>
      <c r="D300" t="s">
        <v>733</v>
      </c>
      <c r="E300" t="s">
        <v>149</v>
      </c>
      <c r="F300" t="s">
        <v>137</v>
      </c>
      <c r="G300" t="s">
        <v>29</v>
      </c>
      <c r="L300" t="s">
        <v>937</v>
      </c>
    </row>
    <row r="301" spans="1:12" x14ac:dyDescent="0.35">
      <c r="A301" t="s">
        <v>113</v>
      </c>
      <c r="B301" t="s">
        <v>172</v>
      </c>
      <c r="C301" t="s">
        <v>734</v>
      </c>
      <c r="D301" t="s">
        <v>735</v>
      </c>
      <c r="E301" t="s">
        <v>149</v>
      </c>
      <c r="F301" t="s">
        <v>137</v>
      </c>
      <c r="G301" t="s">
        <v>29</v>
      </c>
      <c r="L301" t="s">
        <v>937</v>
      </c>
    </row>
    <row r="302" spans="1:12" x14ac:dyDescent="0.35">
      <c r="A302" t="s">
        <v>113</v>
      </c>
      <c r="B302" t="s">
        <v>172</v>
      </c>
      <c r="C302" t="s">
        <v>736</v>
      </c>
      <c r="D302" t="s">
        <v>737</v>
      </c>
      <c r="E302" t="s">
        <v>149</v>
      </c>
      <c r="F302" t="s">
        <v>137</v>
      </c>
      <c r="G302" t="s">
        <v>29</v>
      </c>
      <c r="L302" t="s">
        <v>937</v>
      </c>
    </row>
    <row r="303" spans="1:12" x14ac:dyDescent="0.35">
      <c r="A303" t="s">
        <v>113</v>
      </c>
      <c r="B303" t="s">
        <v>172</v>
      </c>
      <c r="C303" t="s">
        <v>738</v>
      </c>
      <c r="D303" t="s">
        <v>739</v>
      </c>
      <c r="E303" t="s">
        <v>149</v>
      </c>
      <c r="F303" t="s">
        <v>137</v>
      </c>
      <c r="G303" t="s">
        <v>29</v>
      </c>
      <c r="L303" t="s">
        <v>937</v>
      </c>
    </row>
    <row r="304" spans="1:12" x14ac:dyDescent="0.35">
      <c r="A304" t="s">
        <v>113</v>
      </c>
      <c r="B304" t="s">
        <v>172</v>
      </c>
      <c r="C304" t="s">
        <v>740</v>
      </c>
      <c r="D304" t="s">
        <v>741</v>
      </c>
      <c r="E304" t="s">
        <v>149</v>
      </c>
      <c r="F304" t="s">
        <v>116</v>
      </c>
      <c r="G304" t="s">
        <v>29</v>
      </c>
      <c r="L304" t="s">
        <v>937</v>
      </c>
    </row>
    <row r="305" spans="1:12" x14ac:dyDescent="0.35">
      <c r="A305" t="s">
        <v>113</v>
      </c>
      <c r="B305" t="s">
        <v>172</v>
      </c>
      <c r="C305" t="s">
        <v>742</v>
      </c>
      <c r="D305" t="s">
        <v>743</v>
      </c>
      <c r="E305" t="s">
        <v>514</v>
      </c>
      <c r="F305" t="s">
        <v>591</v>
      </c>
      <c r="G305" t="s">
        <v>29</v>
      </c>
      <c r="K305" t="s">
        <v>811</v>
      </c>
      <c r="L305" t="s">
        <v>937</v>
      </c>
    </row>
    <row r="306" spans="1:12" x14ac:dyDescent="0.35">
      <c r="A306" t="s">
        <v>113</v>
      </c>
      <c r="B306" t="s">
        <v>172</v>
      </c>
      <c r="C306" t="s">
        <v>744</v>
      </c>
      <c r="D306" t="s">
        <v>745</v>
      </c>
      <c r="E306" t="s">
        <v>510</v>
      </c>
      <c r="F306" t="s">
        <v>140</v>
      </c>
      <c r="G306" t="s">
        <v>210</v>
      </c>
      <c r="K306" t="s">
        <v>971</v>
      </c>
      <c r="L306" t="s">
        <v>937</v>
      </c>
    </row>
    <row r="307" spans="1:12" x14ac:dyDescent="0.35">
      <c r="A307" t="s">
        <v>113</v>
      </c>
      <c r="B307" t="s">
        <v>172</v>
      </c>
      <c r="C307" t="s">
        <v>746</v>
      </c>
      <c r="D307" t="s">
        <v>747</v>
      </c>
      <c r="E307" t="s">
        <v>116</v>
      </c>
      <c r="F307" t="s">
        <v>116</v>
      </c>
      <c r="G307" t="s">
        <v>221</v>
      </c>
      <c r="I307" t="s">
        <v>748</v>
      </c>
      <c r="J307" t="s">
        <v>422</v>
      </c>
      <c r="K307" t="s">
        <v>814</v>
      </c>
      <c r="L307" t="s">
        <v>937</v>
      </c>
    </row>
    <row r="308" spans="1:12" x14ac:dyDescent="0.35">
      <c r="A308" t="s">
        <v>113</v>
      </c>
      <c r="B308" t="s">
        <v>172</v>
      </c>
      <c r="C308" t="s">
        <v>749</v>
      </c>
      <c r="D308" t="s">
        <v>750</v>
      </c>
      <c r="E308" t="s">
        <v>116</v>
      </c>
      <c r="F308" t="s">
        <v>116</v>
      </c>
      <c r="G308" t="s">
        <v>221</v>
      </c>
      <c r="I308" t="s">
        <v>751</v>
      </c>
      <c r="J308" t="s">
        <v>422</v>
      </c>
      <c r="K308" t="s">
        <v>814</v>
      </c>
      <c r="L308" t="s">
        <v>937</v>
      </c>
    </row>
    <row r="309" spans="1:12" x14ac:dyDescent="0.35">
      <c r="A309" t="s">
        <v>113</v>
      </c>
      <c r="B309" t="s">
        <v>172</v>
      </c>
      <c r="C309" t="s">
        <v>752</v>
      </c>
      <c r="D309" t="s">
        <v>753</v>
      </c>
      <c r="E309" t="s">
        <v>510</v>
      </c>
      <c r="F309" t="s">
        <v>140</v>
      </c>
      <c r="G309" t="s">
        <v>248</v>
      </c>
      <c r="I309" t="s">
        <v>932</v>
      </c>
      <c r="J309" t="s">
        <v>422</v>
      </c>
      <c r="K309" t="s">
        <v>973</v>
      </c>
      <c r="L309" t="s">
        <v>937</v>
      </c>
    </row>
    <row r="310" spans="1:12" x14ac:dyDescent="0.35">
      <c r="A310" t="s">
        <v>113</v>
      </c>
      <c r="B310" t="s">
        <v>172</v>
      </c>
      <c r="C310" t="s">
        <v>752</v>
      </c>
      <c r="D310" t="s">
        <v>753</v>
      </c>
      <c r="E310" t="s">
        <v>510</v>
      </c>
      <c r="F310" t="s">
        <v>140</v>
      </c>
      <c r="G310" t="s">
        <v>248</v>
      </c>
      <c r="I310" t="s">
        <v>933</v>
      </c>
      <c r="J310" t="s">
        <v>168</v>
      </c>
      <c r="K310" t="s">
        <v>973</v>
      </c>
      <c r="L310" t="s">
        <v>937</v>
      </c>
    </row>
    <row r="311" spans="1:12" x14ac:dyDescent="0.35">
      <c r="A311" t="s">
        <v>113</v>
      </c>
      <c r="B311" t="s">
        <v>172</v>
      </c>
      <c r="C311" t="s">
        <v>754</v>
      </c>
      <c r="D311" t="s">
        <v>755</v>
      </c>
      <c r="E311" t="s">
        <v>116</v>
      </c>
      <c r="F311" t="s">
        <v>536</v>
      </c>
      <c r="G311" t="s">
        <v>221</v>
      </c>
      <c r="I311" t="s">
        <v>756</v>
      </c>
      <c r="J311" t="s">
        <v>422</v>
      </c>
      <c r="K311" t="s">
        <v>814</v>
      </c>
      <c r="L311" t="s">
        <v>937</v>
      </c>
    </row>
    <row r="312" spans="1:12" x14ac:dyDescent="0.35">
      <c r="A312" t="s">
        <v>113</v>
      </c>
      <c r="B312" t="s">
        <v>172</v>
      </c>
      <c r="C312" t="s">
        <v>757</v>
      </c>
      <c r="D312" t="s">
        <v>758</v>
      </c>
      <c r="E312" t="s">
        <v>116</v>
      </c>
      <c r="F312" t="s">
        <v>140</v>
      </c>
      <c r="G312" t="s">
        <v>29</v>
      </c>
      <c r="I312" t="s">
        <v>759</v>
      </c>
      <c r="J312" t="s">
        <v>168</v>
      </c>
      <c r="L312" t="s">
        <v>937</v>
      </c>
    </row>
    <row r="313" spans="1:12" x14ac:dyDescent="0.35">
      <c r="A313" t="s">
        <v>113</v>
      </c>
      <c r="B313" t="s">
        <v>172</v>
      </c>
      <c r="C313" t="s">
        <v>760</v>
      </c>
      <c r="D313" t="s">
        <v>761</v>
      </c>
      <c r="E313" t="s">
        <v>116</v>
      </c>
      <c r="F313" t="s">
        <v>116</v>
      </c>
      <c r="G313" t="s">
        <v>243</v>
      </c>
      <c r="L313" t="s">
        <v>937</v>
      </c>
    </row>
    <row r="314" spans="1:12" x14ac:dyDescent="0.35">
      <c r="A314" t="s">
        <v>113</v>
      </c>
      <c r="B314" t="s">
        <v>172</v>
      </c>
      <c r="C314" t="s">
        <v>762</v>
      </c>
      <c r="D314" t="s">
        <v>763</v>
      </c>
      <c r="E314" t="s">
        <v>510</v>
      </c>
      <c r="F314" t="s">
        <v>137</v>
      </c>
      <c r="G314" t="s">
        <v>248</v>
      </c>
      <c r="K314" t="s">
        <v>969</v>
      </c>
      <c r="L314" t="s">
        <v>937</v>
      </c>
    </row>
    <row r="315" spans="1:12" x14ac:dyDescent="0.35">
      <c r="A315" t="s">
        <v>113</v>
      </c>
      <c r="B315" t="s">
        <v>172</v>
      </c>
      <c r="C315" t="s">
        <v>764</v>
      </c>
      <c r="D315" t="s">
        <v>765</v>
      </c>
      <c r="E315" t="s">
        <v>116</v>
      </c>
      <c r="F315" t="s">
        <v>536</v>
      </c>
      <c r="G315" t="s">
        <v>203</v>
      </c>
      <c r="L315" t="s">
        <v>937</v>
      </c>
    </row>
    <row r="316" spans="1:12" x14ac:dyDescent="0.35">
      <c r="A316" t="s">
        <v>113</v>
      </c>
      <c r="B316" t="s">
        <v>172</v>
      </c>
      <c r="C316" t="s">
        <v>766</v>
      </c>
      <c r="D316" t="s">
        <v>767</v>
      </c>
      <c r="E316" t="s">
        <v>494</v>
      </c>
      <c r="F316" t="s">
        <v>116</v>
      </c>
      <c r="G316" t="s">
        <v>29</v>
      </c>
      <c r="K316" t="s">
        <v>811</v>
      </c>
      <c r="L316" t="s">
        <v>937</v>
      </c>
    </row>
    <row r="317" spans="1:12" x14ac:dyDescent="0.35">
      <c r="A317" t="s">
        <v>113</v>
      </c>
      <c r="B317" t="s">
        <v>172</v>
      </c>
      <c r="C317" t="s">
        <v>768</v>
      </c>
      <c r="D317" t="s">
        <v>769</v>
      </c>
      <c r="E317" t="s">
        <v>497</v>
      </c>
      <c r="F317" t="s">
        <v>308</v>
      </c>
      <c r="G317" t="s">
        <v>203</v>
      </c>
      <c r="K317" t="s">
        <v>813</v>
      </c>
      <c r="L317" t="s">
        <v>937</v>
      </c>
    </row>
    <row r="318" spans="1:12" x14ac:dyDescent="0.35">
      <c r="A318" t="s">
        <v>113</v>
      </c>
      <c r="B318" t="s">
        <v>172</v>
      </c>
      <c r="C318" t="s">
        <v>771</v>
      </c>
      <c r="D318" t="s">
        <v>772</v>
      </c>
      <c r="E318" t="s">
        <v>116</v>
      </c>
      <c r="F318" t="s">
        <v>140</v>
      </c>
      <c r="G318" t="s">
        <v>203</v>
      </c>
      <c r="L318" t="s">
        <v>937</v>
      </c>
    </row>
    <row r="319" spans="1:12" x14ac:dyDescent="0.35">
      <c r="A319" t="s">
        <v>113</v>
      </c>
      <c r="B319" t="s">
        <v>172</v>
      </c>
      <c r="C319" t="s">
        <v>773</v>
      </c>
      <c r="D319" t="s">
        <v>774</v>
      </c>
      <c r="E319" t="s">
        <v>116</v>
      </c>
      <c r="F319" t="s">
        <v>116</v>
      </c>
      <c r="G319" t="s">
        <v>243</v>
      </c>
      <c r="I319" t="s">
        <v>775</v>
      </c>
      <c r="J319" t="s">
        <v>168</v>
      </c>
      <c r="K319" t="s">
        <v>817</v>
      </c>
      <c r="L319" t="s">
        <v>937</v>
      </c>
    </row>
    <row r="320" spans="1:12" x14ac:dyDescent="0.35">
      <c r="A320" t="s">
        <v>113</v>
      </c>
      <c r="B320" t="s">
        <v>172</v>
      </c>
      <c r="C320" t="s">
        <v>776</v>
      </c>
      <c r="D320" t="s">
        <v>777</v>
      </c>
      <c r="E320" t="s">
        <v>116</v>
      </c>
      <c r="F320" t="s">
        <v>116</v>
      </c>
      <c r="G320" t="s">
        <v>243</v>
      </c>
      <c r="K320" t="s">
        <v>818</v>
      </c>
      <c r="L320" t="s">
        <v>937</v>
      </c>
    </row>
    <row r="321" spans="1:12" x14ac:dyDescent="0.35">
      <c r="A321" t="s">
        <v>113</v>
      </c>
      <c r="B321" t="s">
        <v>172</v>
      </c>
      <c r="C321" t="s">
        <v>778</v>
      </c>
      <c r="D321" t="s">
        <v>779</v>
      </c>
      <c r="E321" t="s">
        <v>116</v>
      </c>
      <c r="F321" t="s">
        <v>116</v>
      </c>
      <c r="G321" t="s">
        <v>243</v>
      </c>
      <c r="I321" t="s">
        <v>934</v>
      </c>
      <c r="J321" t="s">
        <v>780</v>
      </c>
      <c r="K321" t="s">
        <v>819</v>
      </c>
      <c r="L321" t="s">
        <v>937</v>
      </c>
    </row>
    <row r="322" spans="1:12" x14ac:dyDescent="0.35">
      <c r="A322" t="s">
        <v>113</v>
      </c>
      <c r="B322" t="s">
        <v>172</v>
      </c>
      <c r="C322" t="s">
        <v>778</v>
      </c>
      <c r="D322" t="s">
        <v>779</v>
      </c>
      <c r="E322" t="s">
        <v>116</v>
      </c>
      <c r="F322" t="s">
        <v>116</v>
      </c>
      <c r="G322" t="s">
        <v>243</v>
      </c>
      <c r="I322" t="s">
        <v>935</v>
      </c>
      <c r="J322" t="s">
        <v>170</v>
      </c>
      <c r="K322" t="s">
        <v>819</v>
      </c>
      <c r="L322" t="s">
        <v>937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A28E-A86F-42B1-9761-C1F7FF45BCAF}">
  <dimension ref="A1:L316"/>
  <sheetViews>
    <sheetView workbookViewId="0">
      <selection activeCell="D13" sqref="D13"/>
    </sheetView>
  </sheetViews>
  <sheetFormatPr defaultColWidth="8.7265625" defaultRowHeight="14.5" x14ac:dyDescent="0.35"/>
  <cols>
    <col min="1" max="1" width="22.7265625" bestFit="1" customWidth="1"/>
    <col min="2" max="2" width="15.26953125" bestFit="1" customWidth="1"/>
    <col min="3" max="3" width="10.08984375" bestFit="1" customWidth="1"/>
    <col min="4" max="4" width="80.7265625" bestFit="1" customWidth="1"/>
    <col min="5" max="5" width="20.26953125" bestFit="1" customWidth="1"/>
    <col min="6" max="6" width="19.36328125" bestFit="1" customWidth="1"/>
    <col min="7" max="7" width="22.08984375" bestFit="1" customWidth="1"/>
    <col min="8" max="8" width="17.7265625" bestFit="1" customWidth="1"/>
    <col min="9" max="9" width="12.90625" bestFit="1" customWidth="1"/>
    <col min="10" max="10" width="20.81640625" bestFit="1" customWidth="1"/>
    <col min="11" max="11" width="80.7265625" bestFit="1" customWidth="1"/>
    <col min="12" max="12" width="15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11</v>
      </c>
      <c r="I1" t="s">
        <v>12</v>
      </c>
      <c r="J1" t="s">
        <v>167</v>
      </c>
      <c r="K1" t="s">
        <v>781</v>
      </c>
      <c r="L1" t="s">
        <v>820</v>
      </c>
    </row>
    <row r="2" spans="1:12" x14ac:dyDescent="0.35">
      <c r="A2" t="s">
        <v>13</v>
      </c>
      <c r="B2" t="s">
        <v>172</v>
      </c>
      <c r="C2" t="s">
        <v>173</v>
      </c>
      <c r="D2" t="s">
        <v>174</v>
      </c>
      <c r="E2" t="s">
        <v>17</v>
      </c>
      <c r="F2" t="s">
        <v>28</v>
      </c>
      <c r="G2" t="s">
        <v>248</v>
      </c>
      <c r="H2" s="1"/>
    </row>
    <row r="3" spans="1:12" x14ac:dyDescent="0.35">
      <c r="A3" t="s">
        <v>13</v>
      </c>
      <c r="B3" t="s">
        <v>172</v>
      </c>
      <c r="C3" t="s">
        <v>176</v>
      </c>
      <c r="D3" t="s">
        <v>177</v>
      </c>
      <c r="F3" t="s">
        <v>28</v>
      </c>
      <c r="G3" t="s">
        <v>175</v>
      </c>
      <c r="H3" s="1"/>
    </row>
    <row r="4" spans="1:12" x14ac:dyDescent="0.35">
      <c r="A4" t="s">
        <v>13</v>
      </c>
      <c r="B4" t="s">
        <v>172</v>
      </c>
      <c r="C4" t="s">
        <v>178</v>
      </c>
      <c r="D4" t="s">
        <v>179</v>
      </c>
      <c r="F4" t="s">
        <v>28</v>
      </c>
      <c r="G4" t="s">
        <v>175</v>
      </c>
      <c r="H4" s="1"/>
    </row>
    <row r="5" spans="1:12" x14ac:dyDescent="0.35">
      <c r="A5" t="s">
        <v>13</v>
      </c>
      <c r="B5" t="s">
        <v>172</v>
      </c>
      <c r="C5" t="s">
        <v>180</v>
      </c>
      <c r="D5" t="s">
        <v>181</v>
      </c>
      <c r="E5" t="s">
        <v>23</v>
      </c>
      <c r="F5" t="s">
        <v>28</v>
      </c>
      <c r="G5" t="s">
        <v>33</v>
      </c>
      <c r="H5" s="1"/>
    </row>
    <row r="6" spans="1:12" x14ac:dyDescent="0.35">
      <c r="A6" t="s">
        <v>13</v>
      </c>
      <c r="B6" t="s">
        <v>172</v>
      </c>
      <c r="C6" t="s">
        <v>182</v>
      </c>
      <c r="D6" t="s">
        <v>183</v>
      </c>
      <c r="F6" t="s">
        <v>28</v>
      </c>
      <c r="G6" t="s">
        <v>33</v>
      </c>
      <c r="H6" s="1"/>
    </row>
    <row r="7" spans="1:12" x14ac:dyDescent="0.35">
      <c r="A7" t="s">
        <v>13</v>
      </c>
      <c r="B7" t="s">
        <v>172</v>
      </c>
      <c r="C7" t="s">
        <v>184</v>
      </c>
      <c r="D7" t="s">
        <v>185</v>
      </c>
      <c r="E7" t="s">
        <v>28</v>
      </c>
      <c r="F7" t="s">
        <v>28</v>
      </c>
      <c r="G7" t="s">
        <v>175</v>
      </c>
      <c r="H7" s="1"/>
    </row>
    <row r="8" spans="1:12" x14ac:dyDescent="0.35">
      <c r="A8" t="s">
        <v>13</v>
      </c>
      <c r="B8" t="s">
        <v>172</v>
      </c>
      <c r="C8" t="s">
        <v>186</v>
      </c>
      <c r="D8" t="s">
        <v>187</v>
      </c>
      <c r="E8" t="s">
        <v>23</v>
      </c>
      <c r="F8" t="s">
        <v>28</v>
      </c>
      <c r="G8" t="s">
        <v>175</v>
      </c>
      <c r="H8" s="1"/>
    </row>
    <row r="9" spans="1:12" x14ac:dyDescent="0.35">
      <c r="A9" t="s">
        <v>13</v>
      </c>
      <c r="B9" t="s">
        <v>172</v>
      </c>
      <c r="C9" t="s">
        <v>188</v>
      </c>
      <c r="D9" t="s">
        <v>189</v>
      </c>
      <c r="E9" t="s">
        <v>23</v>
      </c>
      <c r="F9" t="s">
        <v>28</v>
      </c>
      <c r="G9" t="s">
        <v>175</v>
      </c>
      <c r="H9" s="1"/>
    </row>
    <row r="10" spans="1:12" x14ac:dyDescent="0.35">
      <c r="A10" t="s">
        <v>13</v>
      </c>
      <c r="B10" t="s">
        <v>172</v>
      </c>
      <c r="C10" t="s">
        <v>190</v>
      </c>
      <c r="D10" t="s">
        <v>191</v>
      </c>
      <c r="E10" t="s">
        <v>28</v>
      </c>
      <c r="F10" t="s">
        <v>28</v>
      </c>
      <c r="G10" t="s">
        <v>52</v>
      </c>
      <c r="H10" s="1"/>
    </row>
    <row r="11" spans="1:12" x14ac:dyDescent="0.35">
      <c r="A11" t="s">
        <v>13</v>
      </c>
      <c r="B11" t="s">
        <v>172</v>
      </c>
      <c r="C11" t="s">
        <v>192</v>
      </c>
      <c r="D11" t="s">
        <v>193</v>
      </c>
      <c r="E11" t="s">
        <v>23</v>
      </c>
      <c r="F11" t="s">
        <v>28</v>
      </c>
      <c r="G11" t="s">
        <v>175</v>
      </c>
      <c r="H11" s="1"/>
    </row>
    <row r="12" spans="1:12" x14ac:dyDescent="0.35">
      <c r="A12" t="s">
        <v>13</v>
      </c>
      <c r="B12" t="s">
        <v>172</v>
      </c>
      <c r="C12" t="s">
        <v>194</v>
      </c>
      <c r="D12" t="s">
        <v>195</v>
      </c>
      <c r="E12" t="s">
        <v>28</v>
      </c>
      <c r="F12" t="s">
        <v>28</v>
      </c>
      <c r="G12" t="s">
        <v>175</v>
      </c>
      <c r="H12" s="1"/>
    </row>
    <row r="13" spans="1:12" x14ac:dyDescent="0.35">
      <c r="A13" t="s">
        <v>13</v>
      </c>
      <c r="B13" t="s">
        <v>172</v>
      </c>
      <c r="C13" t="s">
        <v>196</v>
      </c>
      <c r="D13" t="s">
        <v>881</v>
      </c>
      <c r="E13" t="s">
        <v>23</v>
      </c>
      <c r="F13" t="s">
        <v>28</v>
      </c>
      <c r="G13" t="s">
        <v>175</v>
      </c>
      <c r="H13" s="1"/>
    </row>
    <row r="14" spans="1:12" x14ac:dyDescent="0.35">
      <c r="A14" t="s">
        <v>13</v>
      </c>
      <c r="B14" t="s">
        <v>172</v>
      </c>
      <c r="C14" t="s">
        <v>197</v>
      </c>
      <c r="D14" t="s">
        <v>198</v>
      </c>
      <c r="E14" t="s">
        <v>17</v>
      </c>
      <c r="F14" t="s">
        <v>28</v>
      </c>
      <c r="G14" t="s">
        <v>248</v>
      </c>
      <c r="H14" s="1"/>
    </row>
    <row r="15" spans="1:12" x14ac:dyDescent="0.35">
      <c r="A15" t="s">
        <v>13</v>
      </c>
      <c r="B15" t="s">
        <v>172</v>
      </c>
      <c r="C15" t="s">
        <v>199</v>
      </c>
      <c r="D15" t="s">
        <v>200</v>
      </c>
      <c r="E15" t="s">
        <v>28</v>
      </c>
      <c r="F15" t="s">
        <v>28</v>
      </c>
      <c r="G15" t="s">
        <v>248</v>
      </c>
      <c r="H15" s="1"/>
    </row>
    <row r="16" spans="1:12" x14ac:dyDescent="0.35">
      <c r="A16" t="s">
        <v>13</v>
      </c>
      <c r="B16" t="s">
        <v>172</v>
      </c>
      <c r="C16" t="s">
        <v>202</v>
      </c>
      <c r="D16" t="s">
        <v>882</v>
      </c>
      <c r="E16" t="s">
        <v>17</v>
      </c>
      <c r="F16" t="s">
        <v>28</v>
      </c>
      <c r="G16" t="s">
        <v>248</v>
      </c>
      <c r="H16" s="1"/>
    </row>
    <row r="17" spans="1:12" x14ac:dyDescent="0.35">
      <c r="A17" t="s">
        <v>13</v>
      </c>
      <c r="B17" t="s">
        <v>172</v>
      </c>
      <c r="C17" t="s">
        <v>204</v>
      </c>
      <c r="D17" t="s">
        <v>205</v>
      </c>
      <c r="E17" t="s">
        <v>17</v>
      </c>
      <c r="F17" t="s">
        <v>28</v>
      </c>
      <c r="G17" t="s">
        <v>278</v>
      </c>
      <c r="H17" s="1"/>
    </row>
    <row r="18" spans="1:12" x14ac:dyDescent="0.35">
      <c r="A18" t="s">
        <v>13</v>
      </c>
      <c r="B18" t="s">
        <v>172</v>
      </c>
      <c r="C18" t="s">
        <v>206</v>
      </c>
      <c r="D18" t="s">
        <v>207</v>
      </c>
      <c r="E18" t="s">
        <v>17</v>
      </c>
      <c r="F18" t="s">
        <v>28</v>
      </c>
      <c r="G18" t="s">
        <v>278</v>
      </c>
      <c r="H18" s="1"/>
    </row>
    <row r="19" spans="1:12" x14ac:dyDescent="0.35">
      <c r="A19" t="s">
        <v>13</v>
      </c>
      <c r="B19" t="s">
        <v>172</v>
      </c>
      <c r="C19" t="s">
        <v>208</v>
      </c>
      <c r="D19" t="s">
        <v>209</v>
      </c>
      <c r="E19" t="s">
        <v>23</v>
      </c>
      <c r="F19" t="s">
        <v>28</v>
      </c>
      <c r="G19" t="s">
        <v>210</v>
      </c>
      <c r="H19" s="1"/>
    </row>
    <row r="20" spans="1:12" x14ac:dyDescent="0.35">
      <c r="A20" t="s">
        <v>40</v>
      </c>
      <c r="B20" t="s">
        <v>172</v>
      </c>
      <c r="C20" t="s">
        <v>883</v>
      </c>
      <c r="D20" t="s">
        <v>884</v>
      </c>
      <c r="E20" t="s">
        <v>229</v>
      </c>
      <c r="F20" t="s">
        <v>43</v>
      </c>
      <c r="G20" t="s">
        <v>29</v>
      </c>
      <c r="H20" s="1"/>
      <c r="K20" t="s">
        <v>783</v>
      </c>
      <c r="L20" t="s">
        <v>821</v>
      </c>
    </row>
    <row r="21" spans="1:12" x14ac:dyDescent="0.35">
      <c r="A21" t="s">
        <v>40</v>
      </c>
      <c r="B21" t="s">
        <v>172</v>
      </c>
      <c r="C21" t="s">
        <v>211</v>
      </c>
      <c r="D21" t="s">
        <v>212</v>
      </c>
      <c r="E21" t="s">
        <v>213</v>
      </c>
      <c r="F21" t="s">
        <v>213</v>
      </c>
      <c r="G21" t="s">
        <v>214</v>
      </c>
      <c r="H21" s="1"/>
      <c r="K21" t="s">
        <v>783</v>
      </c>
      <c r="L21" t="s">
        <v>821</v>
      </c>
    </row>
    <row r="22" spans="1:12" x14ac:dyDescent="0.35">
      <c r="A22" t="s">
        <v>40</v>
      </c>
      <c r="B22" t="s">
        <v>172</v>
      </c>
      <c r="C22" t="s">
        <v>215</v>
      </c>
      <c r="D22" t="s">
        <v>216</v>
      </c>
      <c r="F22" t="s">
        <v>43</v>
      </c>
      <c r="G22" t="s">
        <v>203</v>
      </c>
      <c r="H22" s="1"/>
    </row>
    <row r="23" spans="1:12" x14ac:dyDescent="0.35">
      <c r="A23" t="s">
        <v>40</v>
      </c>
      <c r="B23" t="s">
        <v>172</v>
      </c>
      <c r="C23" t="s">
        <v>217</v>
      </c>
      <c r="D23" t="s">
        <v>218</v>
      </c>
      <c r="E23" t="s">
        <v>257</v>
      </c>
      <c r="F23" t="s">
        <v>43</v>
      </c>
      <c r="G23" t="s">
        <v>201</v>
      </c>
      <c r="H23" s="1"/>
      <c r="K23" t="s">
        <v>783</v>
      </c>
      <c r="L23" t="s">
        <v>821</v>
      </c>
    </row>
    <row r="24" spans="1:12" x14ac:dyDescent="0.35">
      <c r="A24" t="s">
        <v>40</v>
      </c>
      <c r="B24" t="s">
        <v>172</v>
      </c>
      <c r="C24" t="s">
        <v>219</v>
      </c>
      <c r="D24" t="s">
        <v>220</v>
      </c>
      <c r="E24" t="s">
        <v>60</v>
      </c>
      <c r="F24" t="s">
        <v>60</v>
      </c>
      <c r="G24" t="s">
        <v>221</v>
      </c>
      <c r="H24" s="1"/>
      <c r="K24" t="s">
        <v>784</v>
      </c>
      <c r="L24" t="s">
        <v>822</v>
      </c>
    </row>
    <row r="25" spans="1:12" x14ac:dyDescent="0.35">
      <c r="A25" t="s">
        <v>40</v>
      </c>
      <c r="B25" t="s">
        <v>172</v>
      </c>
      <c r="C25" t="s">
        <v>222</v>
      </c>
      <c r="D25" t="s">
        <v>223</v>
      </c>
      <c r="E25" t="s">
        <v>224</v>
      </c>
      <c r="F25" t="s">
        <v>224</v>
      </c>
      <c r="G25" t="s">
        <v>221</v>
      </c>
      <c r="H25" s="1"/>
      <c r="K25" t="s">
        <v>785</v>
      </c>
    </row>
    <row r="26" spans="1:12" x14ac:dyDescent="0.35">
      <c r="A26" t="s">
        <v>40</v>
      </c>
      <c r="B26" t="s">
        <v>172</v>
      </c>
      <c r="C26" t="s">
        <v>225</v>
      </c>
      <c r="D26" t="s">
        <v>226</v>
      </c>
      <c r="E26" t="s">
        <v>65</v>
      </c>
      <c r="F26" t="s">
        <v>65</v>
      </c>
      <c r="G26" t="s">
        <v>221</v>
      </c>
      <c r="H26" s="1"/>
      <c r="K26" t="s">
        <v>784</v>
      </c>
      <c r="L26" t="s">
        <v>822</v>
      </c>
    </row>
    <row r="27" spans="1:12" x14ac:dyDescent="0.35">
      <c r="A27" t="s">
        <v>40</v>
      </c>
      <c r="B27" t="s">
        <v>172</v>
      </c>
      <c r="C27" t="s">
        <v>227</v>
      </c>
      <c r="D27" t="s">
        <v>228</v>
      </c>
      <c r="E27" t="s">
        <v>229</v>
      </c>
      <c r="F27" t="s">
        <v>224</v>
      </c>
      <c r="G27" t="s">
        <v>201</v>
      </c>
      <c r="H27" s="1"/>
      <c r="K27" t="s">
        <v>783</v>
      </c>
      <c r="L27" t="s">
        <v>821</v>
      </c>
    </row>
    <row r="28" spans="1:12" x14ac:dyDescent="0.35">
      <c r="A28" t="s">
        <v>40</v>
      </c>
      <c r="B28" t="s">
        <v>172</v>
      </c>
      <c r="C28" t="s">
        <v>230</v>
      </c>
      <c r="D28" t="s">
        <v>231</v>
      </c>
      <c r="E28" t="s">
        <v>232</v>
      </c>
      <c r="F28" t="s">
        <v>224</v>
      </c>
      <c r="G28" t="s">
        <v>52</v>
      </c>
      <c r="H28" s="1"/>
      <c r="K28" t="s">
        <v>783</v>
      </c>
      <c r="L28" t="s">
        <v>821</v>
      </c>
    </row>
    <row r="29" spans="1:12" x14ac:dyDescent="0.35">
      <c r="A29" t="s">
        <v>40</v>
      </c>
      <c r="B29" t="s">
        <v>172</v>
      </c>
      <c r="C29" t="s">
        <v>233</v>
      </c>
      <c r="D29" t="s">
        <v>234</v>
      </c>
      <c r="E29" t="s">
        <v>43</v>
      </c>
      <c r="F29" t="s">
        <v>213</v>
      </c>
      <c r="G29" t="s">
        <v>221</v>
      </c>
      <c r="H29" s="1"/>
      <c r="K29" t="s">
        <v>785</v>
      </c>
    </row>
    <row r="30" spans="1:12" x14ac:dyDescent="0.35">
      <c r="A30" t="s">
        <v>40</v>
      </c>
      <c r="B30" t="s">
        <v>172</v>
      </c>
      <c r="C30" t="s">
        <v>235</v>
      </c>
      <c r="D30" t="s">
        <v>236</v>
      </c>
      <c r="E30" t="s">
        <v>60</v>
      </c>
      <c r="F30" t="s">
        <v>65</v>
      </c>
      <c r="G30" t="s">
        <v>221</v>
      </c>
      <c r="H30" s="1"/>
      <c r="K30" t="s">
        <v>784</v>
      </c>
      <c r="L30" t="s">
        <v>822</v>
      </c>
    </row>
    <row r="31" spans="1:12" x14ac:dyDescent="0.35">
      <c r="A31" t="s">
        <v>40</v>
      </c>
      <c r="B31" t="s">
        <v>172</v>
      </c>
      <c r="C31" t="s">
        <v>237</v>
      </c>
      <c r="D31" t="s">
        <v>238</v>
      </c>
      <c r="E31" t="s">
        <v>60</v>
      </c>
      <c r="F31" t="s">
        <v>68</v>
      </c>
      <c r="G31" t="s">
        <v>221</v>
      </c>
      <c r="H31" s="1"/>
      <c r="K31" t="s">
        <v>783</v>
      </c>
      <c r="L31" t="s">
        <v>821</v>
      </c>
    </row>
    <row r="32" spans="1:12" x14ac:dyDescent="0.35">
      <c r="A32" t="s">
        <v>40</v>
      </c>
      <c r="B32" t="s">
        <v>172</v>
      </c>
      <c r="C32" t="s">
        <v>239</v>
      </c>
      <c r="D32" t="s">
        <v>240</v>
      </c>
      <c r="E32" t="s">
        <v>65</v>
      </c>
      <c r="F32" t="s">
        <v>43</v>
      </c>
      <c r="G32" t="s">
        <v>221</v>
      </c>
      <c r="H32" s="1"/>
      <c r="K32" t="s">
        <v>785</v>
      </c>
    </row>
    <row r="33" spans="1:12" x14ac:dyDescent="0.35">
      <c r="A33" t="s">
        <v>40</v>
      </c>
      <c r="B33" t="s">
        <v>172</v>
      </c>
      <c r="C33" t="s">
        <v>241</v>
      </c>
      <c r="D33" t="s">
        <v>242</v>
      </c>
      <c r="F33" t="s">
        <v>43</v>
      </c>
      <c r="G33" t="s">
        <v>243</v>
      </c>
      <c r="H33" s="1"/>
      <c r="K33" t="s">
        <v>787</v>
      </c>
    </row>
    <row r="34" spans="1:12" x14ac:dyDescent="0.35">
      <c r="A34" t="s">
        <v>40</v>
      </c>
      <c r="B34" t="s">
        <v>172</v>
      </c>
      <c r="C34" t="s">
        <v>244</v>
      </c>
      <c r="D34" t="s">
        <v>245</v>
      </c>
      <c r="F34" t="s">
        <v>43</v>
      </c>
      <c r="G34" t="s">
        <v>203</v>
      </c>
      <c r="H34" s="1"/>
      <c r="K34" t="s">
        <v>788</v>
      </c>
      <c r="L34" t="s">
        <v>823</v>
      </c>
    </row>
    <row r="35" spans="1:12" x14ac:dyDescent="0.35">
      <c r="A35" t="s">
        <v>40</v>
      </c>
      <c r="B35" t="s">
        <v>172</v>
      </c>
      <c r="C35" t="s">
        <v>246</v>
      </c>
      <c r="D35" t="s">
        <v>247</v>
      </c>
      <c r="E35" t="s">
        <v>43</v>
      </c>
      <c r="F35" t="s">
        <v>43</v>
      </c>
      <c r="G35" t="s">
        <v>221</v>
      </c>
      <c r="H35" s="1"/>
      <c r="I35" t="s">
        <v>258</v>
      </c>
      <c r="J35" t="s">
        <v>168</v>
      </c>
      <c r="K35" t="s">
        <v>783</v>
      </c>
      <c r="L35" t="s">
        <v>821</v>
      </c>
    </row>
    <row r="36" spans="1:12" x14ac:dyDescent="0.35">
      <c r="A36" t="s">
        <v>40</v>
      </c>
      <c r="B36" t="s">
        <v>172</v>
      </c>
      <c r="C36" t="s">
        <v>246</v>
      </c>
      <c r="D36" t="s">
        <v>247</v>
      </c>
      <c r="E36" t="s">
        <v>43</v>
      </c>
      <c r="F36" t="s">
        <v>43</v>
      </c>
      <c r="G36" t="s">
        <v>221</v>
      </c>
      <c r="H36" s="1"/>
      <c r="I36" t="s">
        <v>258</v>
      </c>
      <c r="J36" t="s">
        <v>170</v>
      </c>
      <c r="K36" t="s">
        <v>783</v>
      </c>
      <c r="L36" t="s">
        <v>821</v>
      </c>
    </row>
    <row r="37" spans="1:12" x14ac:dyDescent="0.35">
      <c r="A37" t="s">
        <v>40</v>
      </c>
      <c r="B37" t="s">
        <v>172</v>
      </c>
      <c r="C37" t="s">
        <v>249</v>
      </c>
      <c r="D37" t="s">
        <v>250</v>
      </c>
      <c r="E37" t="s">
        <v>43</v>
      </c>
      <c r="F37" t="s">
        <v>68</v>
      </c>
      <c r="G37" t="s">
        <v>221</v>
      </c>
      <c r="H37" s="1"/>
      <c r="K37" t="s">
        <v>784</v>
      </c>
      <c r="L37" t="s">
        <v>822</v>
      </c>
    </row>
    <row r="38" spans="1:12" x14ac:dyDescent="0.35">
      <c r="A38" t="s">
        <v>40</v>
      </c>
      <c r="B38" t="s">
        <v>172</v>
      </c>
      <c r="C38" t="s">
        <v>251</v>
      </c>
      <c r="D38" t="s">
        <v>252</v>
      </c>
      <c r="E38" t="s">
        <v>60</v>
      </c>
      <c r="F38" t="s">
        <v>43</v>
      </c>
      <c r="G38" t="s">
        <v>221</v>
      </c>
      <c r="H38" s="1"/>
      <c r="K38" t="s">
        <v>784</v>
      </c>
      <c r="L38" t="s">
        <v>822</v>
      </c>
    </row>
    <row r="39" spans="1:12" x14ac:dyDescent="0.35">
      <c r="A39" t="s">
        <v>40</v>
      </c>
      <c r="B39" t="s">
        <v>172</v>
      </c>
      <c r="C39" t="s">
        <v>253</v>
      </c>
      <c r="D39" t="s">
        <v>254</v>
      </c>
      <c r="E39" t="s">
        <v>60</v>
      </c>
      <c r="F39" t="s">
        <v>68</v>
      </c>
      <c r="G39" t="s">
        <v>221</v>
      </c>
      <c r="H39" s="1"/>
      <c r="K39" t="s">
        <v>784</v>
      </c>
      <c r="L39" t="s">
        <v>822</v>
      </c>
    </row>
    <row r="40" spans="1:12" x14ac:dyDescent="0.35">
      <c r="A40" t="s">
        <v>40</v>
      </c>
      <c r="B40" t="s">
        <v>172</v>
      </c>
      <c r="C40" t="s">
        <v>255</v>
      </c>
      <c r="D40" t="s">
        <v>256</v>
      </c>
      <c r="E40" t="s">
        <v>65</v>
      </c>
      <c r="F40" t="s">
        <v>43</v>
      </c>
      <c r="G40" t="s">
        <v>278</v>
      </c>
      <c r="H40" s="1"/>
      <c r="K40" t="s">
        <v>783</v>
      </c>
      <c r="L40" t="s">
        <v>821</v>
      </c>
    </row>
    <row r="41" spans="1:12" x14ac:dyDescent="0.35">
      <c r="A41" t="s">
        <v>40</v>
      </c>
      <c r="B41" t="s">
        <v>172</v>
      </c>
      <c r="C41" t="s">
        <v>258</v>
      </c>
      <c r="D41" t="s">
        <v>259</v>
      </c>
      <c r="E41" t="s">
        <v>43</v>
      </c>
      <c r="F41" t="s">
        <v>43</v>
      </c>
      <c r="G41" t="s">
        <v>278</v>
      </c>
      <c r="H41" s="1"/>
      <c r="I41" t="s">
        <v>246</v>
      </c>
      <c r="J41" t="s">
        <v>170</v>
      </c>
      <c r="K41" t="s">
        <v>789</v>
      </c>
      <c r="L41" t="s">
        <v>821</v>
      </c>
    </row>
    <row r="42" spans="1:12" x14ac:dyDescent="0.35">
      <c r="A42" t="s">
        <v>40</v>
      </c>
      <c r="B42" t="s">
        <v>172</v>
      </c>
      <c r="C42" t="s">
        <v>258</v>
      </c>
      <c r="D42" t="s">
        <v>259</v>
      </c>
      <c r="E42" t="s">
        <v>43</v>
      </c>
      <c r="F42" t="s">
        <v>43</v>
      </c>
      <c r="G42" t="s">
        <v>278</v>
      </c>
      <c r="H42" s="1"/>
      <c r="I42" t="s">
        <v>246</v>
      </c>
      <c r="J42" t="s">
        <v>168</v>
      </c>
      <c r="K42" t="s">
        <v>789</v>
      </c>
      <c r="L42" t="s">
        <v>821</v>
      </c>
    </row>
    <row r="43" spans="1:12" x14ac:dyDescent="0.35">
      <c r="A43" t="s">
        <v>40</v>
      </c>
      <c r="B43" t="s">
        <v>172</v>
      </c>
      <c r="C43" t="s">
        <v>260</v>
      </c>
      <c r="D43" t="s">
        <v>261</v>
      </c>
      <c r="E43" t="s">
        <v>60</v>
      </c>
      <c r="F43" t="s">
        <v>43</v>
      </c>
      <c r="G43" t="s">
        <v>221</v>
      </c>
      <c r="H43" s="1"/>
      <c r="K43" t="s">
        <v>784</v>
      </c>
      <c r="L43" t="s">
        <v>822</v>
      </c>
    </row>
    <row r="44" spans="1:12" x14ac:dyDescent="0.35">
      <c r="A44" t="s">
        <v>40</v>
      </c>
      <c r="B44" t="s">
        <v>172</v>
      </c>
      <c r="C44" t="s">
        <v>262</v>
      </c>
      <c r="D44" t="s">
        <v>263</v>
      </c>
      <c r="E44" t="s">
        <v>43</v>
      </c>
      <c r="F44" t="s">
        <v>43</v>
      </c>
      <c r="G44" t="s">
        <v>221</v>
      </c>
      <c r="H44" s="1"/>
      <c r="K44" t="s">
        <v>784</v>
      </c>
      <c r="L44" t="s">
        <v>822</v>
      </c>
    </row>
    <row r="45" spans="1:12" x14ac:dyDescent="0.35">
      <c r="A45" t="s">
        <v>40</v>
      </c>
      <c r="B45" t="s">
        <v>172</v>
      </c>
      <c r="C45" t="s">
        <v>264</v>
      </c>
      <c r="D45" t="s">
        <v>265</v>
      </c>
      <c r="E45" t="s">
        <v>266</v>
      </c>
      <c r="F45" t="s">
        <v>43</v>
      </c>
      <c r="G45" t="s">
        <v>221</v>
      </c>
      <c r="H45" s="1"/>
      <c r="K45" t="s">
        <v>784</v>
      </c>
      <c r="L45" t="s">
        <v>822</v>
      </c>
    </row>
    <row r="46" spans="1:12" x14ac:dyDescent="0.35">
      <c r="A46" t="s">
        <v>40</v>
      </c>
      <c r="B46" t="s">
        <v>172</v>
      </c>
      <c r="C46" t="s">
        <v>267</v>
      </c>
      <c r="D46" t="s">
        <v>268</v>
      </c>
      <c r="E46" t="s">
        <v>269</v>
      </c>
      <c r="F46" t="s">
        <v>43</v>
      </c>
      <c r="G46" t="s">
        <v>221</v>
      </c>
      <c r="H46" s="1"/>
      <c r="K46" t="s">
        <v>784</v>
      </c>
      <c r="L46" t="s">
        <v>822</v>
      </c>
    </row>
    <row r="47" spans="1:12" x14ac:dyDescent="0.35">
      <c r="A47" t="s">
        <v>40</v>
      </c>
      <c r="B47" t="s">
        <v>172</v>
      </c>
      <c r="C47" t="s">
        <v>270</v>
      </c>
      <c r="D47" t="s">
        <v>271</v>
      </c>
      <c r="F47" t="s">
        <v>60</v>
      </c>
      <c r="G47" t="s">
        <v>33</v>
      </c>
      <c r="H47" s="1"/>
      <c r="K47" t="s">
        <v>790</v>
      </c>
    </row>
    <row r="48" spans="1:12" x14ac:dyDescent="0.35">
      <c r="A48" t="s">
        <v>40</v>
      </c>
      <c r="B48" t="s">
        <v>172</v>
      </c>
      <c r="C48" t="s">
        <v>272</v>
      </c>
      <c r="D48" t="s">
        <v>273</v>
      </c>
      <c r="E48" t="s">
        <v>60</v>
      </c>
      <c r="F48" t="s">
        <v>60</v>
      </c>
      <c r="G48" t="s">
        <v>221</v>
      </c>
      <c r="H48" s="1"/>
      <c r="K48" t="s">
        <v>784</v>
      </c>
      <c r="L48" t="s">
        <v>822</v>
      </c>
    </row>
    <row r="49" spans="1:12" x14ac:dyDescent="0.35">
      <c r="A49" t="s">
        <v>40</v>
      </c>
      <c r="B49" t="s">
        <v>172</v>
      </c>
      <c r="C49" t="s">
        <v>274</v>
      </c>
      <c r="D49" t="s">
        <v>275</v>
      </c>
      <c r="E49" t="s">
        <v>60</v>
      </c>
      <c r="F49" t="s">
        <v>60</v>
      </c>
      <c r="G49" t="s">
        <v>221</v>
      </c>
      <c r="H49" s="1"/>
      <c r="K49" t="s">
        <v>784</v>
      </c>
      <c r="L49" t="s">
        <v>822</v>
      </c>
    </row>
    <row r="50" spans="1:12" x14ac:dyDescent="0.35">
      <c r="A50" t="s">
        <v>40</v>
      </c>
      <c r="B50" t="s">
        <v>172</v>
      </c>
      <c r="C50" t="s">
        <v>276</v>
      </c>
      <c r="D50" t="s">
        <v>277</v>
      </c>
      <c r="E50" t="s">
        <v>257</v>
      </c>
      <c r="F50" t="s">
        <v>43</v>
      </c>
      <c r="G50" t="s">
        <v>52</v>
      </c>
      <c r="H50" s="1"/>
      <c r="K50" t="s">
        <v>789</v>
      </c>
      <c r="L50" t="s">
        <v>821</v>
      </c>
    </row>
    <row r="51" spans="1:12" x14ac:dyDescent="0.35">
      <c r="A51" t="s">
        <v>40</v>
      </c>
      <c r="B51" t="s">
        <v>172</v>
      </c>
      <c r="C51" t="s">
        <v>279</v>
      </c>
      <c r="D51" t="s">
        <v>280</v>
      </c>
      <c r="F51" t="s">
        <v>43</v>
      </c>
      <c r="G51" t="s">
        <v>243</v>
      </c>
      <c r="H51" s="1"/>
      <c r="K51" t="s">
        <v>787</v>
      </c>
    </row>
    <row r="52" spans="1:12" x14ac:dyDescent="0.35">
      <c r="A52" t="s">
        <v>40</v>
      </c>
      <c r="B52" t="s">
        <v>172</v>
      </c>
      <c r="C52" t="s">
        <v>281</v>
      </c>
      <c r="D52" t="s">
        <v>282</v>
      </c>
      <c r="E52" t="s">
        <v>43</v>
      </c>
      <c r="F52" t="s">
        <v>43</v>
      </c>
      <c r="G52" t="s">
        <v>221</v>
      </c>
      <c r="H52" s="1"/>
      <c r="I52" t="s">
        <v>283</v>
      </c>
      <c r="J52" t="s">
        <v>170</v>
      </c>
      <c r="K52" t="s">
        <v>791</v>
      </c>
      <c r="L52" t="s">
        <v>824</v>
      </c>
    </row>
    <row r="53" spans="1:12" x14ac:dyDescent="0.35">
      <c r="A53" t="s">
        <v>40</v>
      </c>
      <c r="B53" t="s">
        <v>172</v>
      </c>
      <c r="C53" t="s">
        <v>284</v>
      </c>
      <c r="D53" t="s">
        <v>285</v>
      </c>
      <c r="F53" t="s">
        <v>68</v>
      </c>
      <c r="G53" t="s">
        <v>29</v>
      </c>
      <c r="H53" s="1"/>
      <c r="K53" t="s">
        <v>788</v>
      </c>
      <c r="L53" t="s">
        <v>823</v>
      </c>
    </row>
    <row r="54" spans="1:12" x14ac:dyDescent="0.35">
      <c r="A54" t="s">
        <v>40</v>
      </c>
      <c r="B54" t="s">
        <v>172</v>
      </c>
      <c r="C54" t="s">
        <v>286</v>
      </c>
      <c r="D54" t="s">
        <v>287</v>
      </c>
      <c r="E54" t="s">
        <v>60</v>
      </c>
      <c r="F54" t="s">
        <v>60</v>
      </c>
      <c r="G54" t="s">
        <v>221</v>
      </c>
      <c r="H54" s="1"/>
      <c r="K54" t="s">
        <v>792</v>
      </c>
      <c r="L54" t="s">
        <v>825</v>
      </c>
    </row>
    <row r="55" spans="1:12" x14ac:dyDescent="0.35">
      <c r="A55" t="s">
        <v>40</v>
      </c>
      <c r="B55" t="s">
        <v>172</v>
      </c>
      <c r="C55" t="s">
        <v>288</v>
      </c>
      <c r="D55" t="s">
        <v>289</v>
      </c>
      <c r="E55" t="s">
        <v>266</v>
      </c>
      <c r="F55" t="s">
        <v>266</v>
      </c>
      <c r="G55" t="s">
        <v>52</v>
      </c>
      <c r="H55" s="1"/>
      <c r="K55" t="s">
        <v>786</v>
      </c>
    </row>
    <row r="56" spans="1:12" x14ac:dyDescent="0.35">
      <c r="A56" t="s">
        <v>40</v>
      </c>
      <c r="B56" t="s">
        <v>172</v>
      </c>
      <c r="C56" t="s">
        <v>290</v>
      </c>
      <c r="D56" t="s">
        <v>291</v>
      </c>
      <c r="E56" t="s">
        <v>60</v>
      </c>
      <c r="F56" t="s">
        <v>43</v>
      </c>
      <c r="G56" t="s">
        <v>278</v>
      </c>
      <c r="H56" s="1"/>
      <c r="K56" t="s">
        <v>783</v>
      </c>
      <c r="L56" t="s">
        <v>821</v>
      </c>
    </row>
    <row r="57" spans="1:12" x14ac:dyDescent="0.35">
      <c r="A57" t="s">
        <v>40</v>
      </c>
      <c r="B57" t="s">
        <v>172</v>
      </c>
      <c r="C57" t="s">
        <v>292</v>
      </c>
      <c r="D57" t="s">
        <v>293</v>
      </c>
      <c r="E57" t="s">
        <v>43</v>
      </c>
      <c r="F57" t="s">
        <v>43</v>
      </c>
      <c r="G57" t="s">
        <v>221</v>
      </c>
      <c r="H57" s="1"/>
      <c r="K57" t="s">
        <v>793</v>
      </c>
      <c r="L57" t="s">
        <v>825</v>
      </c>
    </row>
    <row r="58" spans="1:12" x14ac:dyDescent="0.35">
      <c r="A58" t="s">
        <v>40</v>
      </c>
      <c r="B58" t="s">
        <v>172</v>
      </c>
      <c r="C58" t="s">
        <v>294</v>
      </c>
      <c r="D58" t="s">
        <v>295</v>
      </c>
      <c r="E58" t="s">
        <v>60</v>
      </c>
      <c r="F58" t="s">
        <v>60</v>
      </c>
      <c r="G58" t="s">
        <v>221</v>
      </c>
      <c r="H58" s="1"/>
      <c r="I58" t="s">
        <v>296</v>
      </c>
      <c r="J58" t="s">
        <v>297</v>
      </c>
      <c r="K58" t="s">
        <v>794</v>
      </c>
      <c r="L58" t="s">
        <v>825</v>
      </c>
    </row>
    <row r="59" spans="1:12" x14ac:dyDescent="0.35">
      <c r="A59" t="s">
        <v>40</v>
      </c>
      <c r="B59" t="s">
        <v>172</v>
      </c>
      <c r="C59" t="s">
        <v>298</v>
      </c>
      <c r="D59" t="s">
        <v>299</v>
      </c>
      <c r="E59" t="s">
        <v>60</v>
      </c>
      <c r="F59" t="s">
        <v>68</v>
      </c>
      <c r="G59" t="s">
        <v>221</v>
      </c>
      <c r="H59" s="1"/>
      <c r="I59" t="s">
        <v>885</v>
      </c>
      <c r="J59" t="s">
        <v>168</v>
      </c>
      <c r="K59" t="s">
        <v>795</v>
      </c>
      <c r="L59" t="s">
        <v>826</v>
      </c>
    </row>
    <row r="60" spans="1:12" x14ac:dyDescent="0.35">
      <c r="A60" t="s">
        <v>40</v>
      </c>
      <c r="B60" t="s">
        <v>172</v>
      </c>
      <c r="C60" t="s">
        <v>298</v>
      </c>
      <c r="D60" t="s">
        <v>299</v>
      </c>
      <c r="E60" t="s">
        <v>60</v>
      </c>
      <c r="F60" t="s">
        <v>68</v>
      </c>
      <c r="G60" t="s">
        <v>221</v>
      </c>
      <c r="H60" s="1"/>
      <c r="I60" t="s">
        <v>886</v>
      </c>
      <c r="J60" t="s">
        <v>168</v>
      </c>
      <c r="K60" t="s">
        <v>795</v>
      </c>
      <c r="L60" t="s">
        <v>826</v>
      </c>
    </row>
    <row r="61" spans="1:12" x14ac:dyDescent="0.35">
      <c r="A61" t="s">
        <v>40</v>
      </c>
      <c r="B61" t="s">
        <v>172</v>
      </c>
      <c r="C61" t="s">
        <v>298</v>
      </c>
      <c r="D61" t="s">
        <v>299</v>
      </c>
      <c r="E61" t="s">
        <v>60</v>
      </c>
      <c r="F61" t="s">
        <v>68</v>
      </c>
      <c r="G61" t="s">
        <v>221</v>
      </c>
      <c r="H61" s="1"/>
      <c r="I61" t="s">
        <v>887</v>
      </c>
      <c r="J61" t="s">
        <v>168</v>
      </c>
      <c r="K61" t="s">
        <v>795</v>
      </c>
      <c r="L61" t="s">
        <v>826</v>
      </c>
    </row>
    <row r="62" spans="1:12" x14ac:dyDescent="0.35">
      <c r="A62" t="s">
        <v>40</v>
      </c>
      <c r="B62" t="s">
        <v>172</v>
      </c>
      <c r="C62" t="s">
        <v>300</v>
      </c>
      <c r="D62" t="s">
        <v>301</v>
      </c>
      <c r="F62" t="s">
        <v>60</v>
      </c>
      <c r="G62" t="s">
        <v>33</v>
      </c>
      <c r="H62" s="1"/>
      <c r="K62" t="s">
        <v>787</v>
      </c>
    </row>
    <row r="63" spans="1:12" x14ac:dyDescent="0.35">
      <c r="A63" t="s">
        <v>40</v>
      </c>
      <c r="B63" t="s">
        <v>172</v>
      </c>
      <c r="C63" t="s">
        <v>302</v>
      </c>
      <c r="D63" t="s">
        <v>303</v>
      </c>
      <c r="F63" t="s">
        <v>60</v>
      </c>
      <c r="G63" t="s">
        <v>33</v>
      </c>
      <c r="H63" s="1"/>
      <c r="K63" t="s">
        <v>787</v>
      </c>
    </row>
    <row r="64" spans="1:12" x14ac:dyDescent="0.35">
      <c r="A64" t="s">
        <v>40</v>
      </c>
      <c r="B64" t="s">
        <v>172</v>
      </c>
      <c r="C64" t="s">
        <v>304</v>
      </c>
      <c r="D64" t="s">
        <v>305</v>
      </c>
      <c r="E64" t="s">
        <v>43</v>
      </c>
      <c r="F64" t="s">
        <v>43</v>
      </c>
      <c r="G64" t="s">
        <v>221</v>
      </c>
      <c r="H64" s="1"/>
      <c r="K64" t="s">
        <v>796</v>
      </c>
      <c r="L64" t="s">
        <v>825</v>
      </c>
    </row>
    <row r="65" spans="1:12" x14ac:dyDescent="0.35">
      <c r="A65" t="s">
        <v>40</v>
      </c>
      <c r="B65" t="s">
        <v>172</v>
      </c>
      <c r="C65" t="s">
        <v>306</v>
      </c>
      <c r="D65" t="s">
        <v>307</v>
      </c>
      <c r="E65" t="s">
        <v>43</v>
      </c>
      <c r="F65" t="s">
        <v>308</v>
      </c>
      <c r="G65" t="s">
        <v>221</v>
      </c>
      <c r="H65" s="1"/>
      <c r="I65" t="s">
        <v>309</v>
      </c>
      <c r="J65" t="s">
        <v>170</v>
      </c>
      <c r="K65" t="s">
        <v>797</v>
      </c>
      <c r="L65" t="s">
        <v>827</v>
      </c>
    </row>
    <row r="66" spans="1:12" x14ac:dyDescent="0.35">
      <c r="A66" t="s">
        <v>40</v>
      </c>
      <c r="B66" t="s">
        <v>172</v>
      </c>
      <c r="C66" t="s">
        <v>310</v>
      </c>
      <c r="D66" t="s">
        <v>311</v>
      </c>
      <c r="E66" t="s">
        <v>312</v>
      </c>
      <c r="F66" t="s">
        <v>43</v>
      </c>
      <c r="G66" t="s">
        <v>221</v>
      </c>
      <c r="H66" s="1"/>
      <c r="K66" t="s">
        <v>795</v>
      </c>
      <c r="L66" t="s">
        <v>826</v>
      </c>
    </row>
    <row r="67" spans="1:12" x14ac:dyDescent="0.35">
      <c r="A67" t="s">
        <v>40</v>
      </c>
      <c r="B67" t="s">
        <v>172</v>
      </c>
      <c r="C67" t="s">
        <v>313</v>
      </c>
      <c r="D67" t="s">
        <v>314</v>
      </c>
      <c r="E67" t="s">
        <v>43</v>
      </c>
      <c r="F67" t="s">
        <v>43</v>
      </c>
      <c r="G67" t="s">
        <v>221</v>
      </c>
      <c r="H67" s="1"/>
      <c r="K67" t="s">
        <v>798</v>
      </c>
      <c r="L67" t="s">
        <v>828</v>
      </c>
    </row>
    <row r="68" spans="1:12" x14ac:dyDescent="0.35">
      <c r="A68" t="s">
        <v>40</v>
      </c>
      <c r="B68" t="s">
        <v>172</v>
      </c>
      <c r="C68" t="s">
        <v>315</v>
      </c>
      <c r="D68" t="s">
        <v>316</v>
      </c>
      <c r="F68" t="s">
        <v>68</v>
      </c>
      <c r="G68" t="s">
        <v>33</v>
      </c>
      <c r="H68" s="1"/>
    </row>
    <row r="69" spans="1:12" x14ac:dyDescent="0.35">
      <c r="A69" t="s">
        <v>70</v>
      </c>
      <c r="B69" t="s">
        <v>172</v>
      </c>
      <c r="C69" t="s">
        <v>317</v>
      </c>
      <c r="D69" t="s">
        <v>318</v>
      </c>
      <c r="F69" t="s">
        <v>73</v>
      </c>
      <c r="G69" t="s">
        <v>33</v>
      </c>
      <c r="H69" s="1"/>
      <c r="I69" t="s">
        <v>319</v>
      </c>
      <c r="J69" t="s">
        <v>320</v>
      </c>
    </row>
    <row r="70" spans="1:12" x14ac:dyDescent="0.35">
      <c r="A70" t="s">
        <v>70</v>
      </c>
      <c r="B70" t="s">
        <v>172</v>
      </c>
      <c r="C70" t="s">
        <v>321</v>
      </c>
      <c r="D70" t="s">
        <v>322</v>
      </c>
      <c r="F70" t="s">
        <v>73</v>
      </c>
      <c r="G70" t="s">
        <v>29</v>
      </c>
      <c r="H70" s="1"/>
    </row>
    <row r="71" spans="1:12" x14ac:dyDescent="0.35">
      <c r="A71" t="s">
        <v>70</v>
      </c>
      <c r="B71" t="s">
        <v>172</v>
      </c>
      <c r="C71" t="s">
        <v>323</v>
      </c>
      <c r="D71" t="s">
        <v>324</v>
      </c>
      <c r="E71" t="s">
        <v>88</v>
      </c>
      <c r="F71" t="s">
        <v>73</v>
      </c>
      <c r="G71" t="s">
        <v>278</v>
      </c>
      <c r="H71" s="1"/>
      <c r="K71" t="s">
        <v>799</v>
      </c>
      <c r="L71" t="s">
        <v>821</v>
      </c>
    </row>
    <row r="72" spans="1:12" x14ac:dyDescent="0.35">
      <c r="A72" t="s">
        <v>70</v>
      </c>
      <c r="B72" t="s">
        <v>172</v>
      </c>
      <c r="C72" t="s">
        <v>325</v>
      </c>
      <c r="D72" t="s">
        <v>326</v>
      </c>
      <c r="E72" t="s">
        <v>73</v>
      </c>
      <c r="F72" t="s">
        <v>73</v>
      </c>
      <c r="G72" t="s">
        <v>175</v>
      </c>
      <c r="H72" s="1"/>
      <c r="I72" t="s">
        <v>888</v>
      </c>
      <c r="J72" t="s">
        <v>327</v>
      </c>
    </row>
    <row r="73" spans="1:12" x14ac:dyDescent="0.35">
      <c r="A73" t="s">
        <v>70</v>
      </c>
      <c r="B73" t="s">
        <v>172</v>
      </c>
      <c r="C73" t="s">
        <v>325</v>
      </c>
      <c r="D73" t="s">
        <v>326</v>
      </c>
      <c r="E73" t="s">
        <v>73</v>
      </c>
      <c r="F73" t="s">
        <v>73</v>
      </c>
      <c r="G73" t="s">
        <v>175</v>
      </c>
      <c r="H73" s="1"/>
      <c r="I73" t="s">
        <v>889</v>
      </c>
      <c r="J73" t="s">
        <v>168</v>
      </c>
    </row>
    <row r="74" spans="1:12" x14ac:dyDescent="0.35">
      <c r="A74" t="s">
        <v>70</v>
      </c>
      <c r="B74" t="s">
        <v>172</v>
      </c>
      <c r="C74" t="s">
        <v>328</v>
      </c>
      <c r="D74" t="s">
        <v>329</v>
      </c>
      <c r="F74" t="s">
        <v>73</v>
      </c>
      <c r="G74" t="s">
        <v>33</v>
      </c>
      <c r="H74" s="1"/>
      <c r="I74" t="s">
        <v>330</v>
      </c>
      <c r="J74" t="s">
        <v>331</v>
      </c>
    </row>
    <row r="75" spans="1:12" x14ac:dyDescent="0.35">
      <c r="A75" t="s">
        <v>70</v>
      </c>
      <c r="B75" t="s">
        <v>172</v>
      </c>
      <c r="C75" t="s">
        <v>332</v>
      </c>
      <c r="D75" t="s">
        <v>333</v>
      </c>
      <c r="F75" t="s">
        <v>73</v>
      </c>
      <c r="G75" t="s">
        <v>33</v>
      </c>
      <c r="H75" s="1"/>
    </row>
    <row r="76" spans="1:12" x14ac:dyDescent="0.35">
      <c r="A76" t="s">
        <v>70</v>
      </c>
      <c r="B76" t="s">
        <v>172</v>
      </c>
      <c r="C76" t="s">
        <v>334</v>
      </c>
      <c r="D76" t="s">
        <v>335</v>
      </c>
      <c r="F76" t="s">
        <v>73</v>
      </c>
      <c r="G76" t="s">
        <v>33</v>
      </c>
      <c r="H76" s="1"/>
    </row>
    <row r="77" spans="1:12" x14ac:dyDescent="0.35">
      <c r="A77" t="s">
        <v>70</v>
      </c>
      <c r="B77" t="s">
        <v>172</v>
      </c>
      <c r="C77" t="s">
        <v>336</v>
      </c>
      <c r="D77" t="s">
        <v>337</v>
      </c>
      <c r="E77" t="s">
        <v>73</v>
      </c>
      <c r="F77" t="s">
        <v>73</v>
      </c>
      <c r="G77" t="s">
        <v>243</v>
      </c>
      <c r="H77" s="1"/>
      <c r="K77" t="s">
        <v>800</v>
      </c>
      <c r="L77" t="s">
        <v>829</v>
      </c>
    </row>
    <row r="78" spans="1:12" x14ac:dyDescent="0.35">
      <c r="A78" t="s">
        <v>70</v>
      </c>
      <c r="B78" t="s">
        <v>172</v>
      </c>
      <c r="C78" t="s">
        <v>338</v>
      </c>
      <c r="D78" t="s">
        <v>339</v>
      </c>
      <c r="E78" t="s">
        <v>73</v>
      </c>
      <c r="F78" t="s">
        <v>73</v>
      </c>
      <c r="G78" t="s">
        <v>29</v>
      </c>
      <c r="H78" s="1"/>
      <c r="I78" t="s">
        <v>340</v>
      </c>
      <c r="J78" t="s">
        <v>297</v>
      </c>
      <c r="K78" t="s">
        <v>801</v>
      </c>
      <c r="L78" t="s">
        <v>823</v>
      </c>
    </row>
    <row r="79" spans="1:12" x14ac:dyDescent="0.35">
      <c r="A79" t="s">
        <v>70</v>
      </c>
      <c r="B79" t="s">
        <v>172</v>
      </c>
      <c r="C79" t="s">
        <v>341</v>
      </c>
      <c r="D79" t="s">
        <v>342</v>
      </c>
      <c r="E79" t="s">
        <v>343</v>
      </c>
      <c r="F79" t="s">
        <v>73</v>
      </c>
      <c r="G79" t="s">
        <v>248</v>
      </c>
      <c r="H79" s="1"/>
      <c r="I79" t="s">
        <v>319</v>
      </c>
      <c r="J79" t="s">
        <v>170</v>
      </c>
      <c r="K79" t="s">
        <v>802</v>
      </c>
      <c r="L79" t="s">
        <v>821</v>
      </c>
    </row>
    <row r="80" spans="1:12" x14ac:dyDescent="0.35">
      <c r="A80" t="s">
        <v>70</v>
      </c>
      <c r="B80" t="s">
        <v>172</v>
      </c>
      <c r="C80" t="s">
        <v>340</v>
      </c>
      <c r="D80" t="s">
        <v>344</v>
      </c>
      <c r="E80" t="s">
        <v>73</v>
      </c>
      <c r="F80" t="s">
        <v>73</v>
      </c>
      <c r="G80" t="s">
        <v>243</v>
      </c>
      <c r="H80" s="1"/>
      <c r="I80" t="s">
        <v>338</v>
      </c>
      <c r="J80" t="s">
        <v>171</v>
      </c>
      <c r="K80" t="s">
        <v>801</v>
      </c>
      <c r="L80" t="s">
        <v>823</v>
      </c>
    </row>
    <row r="81" spans="1:12" x14ac:dyDescent="0.35">
      <c r="A81" t="s">
        <v>70</v>
      </c>
      <c r="B81" t="s">
        <v>172</v>
      </c>
      <c r="C81" t="s">
        <v>345</v>
      </c>
      <c r="D81" t="s">
        <v>346</v>
      </c>
      <c r="E81" t="s">
        <v>347</v>
      </c>
      <c r="F81" t="s">
        <v>88</v>
      </c>
      <c r="G81" t="s">
        <v>29</v>
      </c>
      <c r="H81" s="1"/>
      <c r="I81" t="s">
        <v>890</v>
      </c>
      <c r="J81" t="s">
        <v>297</v>
      </c>
      <c r="K81" t="s">
        <v>802</v>
      </c>
      <c r="L81" t="s">
        <v>821</v>
      </c>
    </row>
    <row r="82" spans="1:12" x14ac:dyDescent="0.35">
      <c r="A82" t="s">
        <v>70</v>
      </c>
      <c r="B82" t="s">
        <v>172</v>
      </c>
      <c r="C82" t="s">
        <v>345</v>
      </c>
      <c r="D82" t="s">
        <v>346</v>
      </c>
      <c r="E82" t="s">
        <v>347</v>
      </c>
      <c r="F82" t="s">
        <v>88</v>
      </c>
      <c r="G82" t="s">
        <v>29</v>
      </c>
      <c r="H82" s="1"/>
      <c r="I82" t="s">
        <v>891</v>
      </c>
      <c r="J82" t="s">
        <v>297</v>
      </c>
      <c r="K82" t="s">
        <v>802</v>
      </c>
      <c r="L82" t="s">
        <v>821</v>
      </c>
    </row>
    <row r="83" spans="1:12" x14ac:dyDescent="0.35">
      <c r="A83" t="s">
        <v>70</v>
      </c>
      <c r="B83" t="s">
        <v>172</v>
      </c>
      <c r="C83" t="s">
        <v>348</v>
      </c>
      <c r="D83" t="s">
        <v>349</v>
      </c>
      <c r="E83" t="s">
        <v>343</v>
      </c>
      <c r="F83" t="s">
        <v>88</v>
      </c>
      <c r="G83" t="s">
        <v>248</v>
      </c>
      <c r="H83" s="1"/>
      <c r="K83" t="s">
        <v>799</v>
      </c>
      <c r="L83" t="s">
        <v>821</v>
      </c>
    </row>
    <row r="84" spans="1:12" x14ac:dyDescent="0.35">
      <c r="A84" t="s">
        <v>70</v>
      </c>
      <c r="B84" t="s">
        <v>172</v>
      </c>
      <c r="C84" t="s">
        <v>350</v>
      </c>
      <c r="D84" t="s">
        <v>351</v>
      </c>
      <c r="E84" t="s">
        <v>88</v>
      </c>
      <c r="F84" t="s">
        <v>73</v>
      </c>
      <c r="G84" t="s">
        <v>203</v>
      </c>
      <c r="H84" s="1"/>
      <c r="I84" t="s">
        <v>352</v>
      </c>
      <c r="J84" t="s">
        <v>327</v>
      </c>
    </row>
    <row r="85" spans="1:12" x14ac:dyDescent="0.35">
      <c r="A85" t="s">
        <v>70</v>
      </c>
      <c r="B85" t="s">
        <v>172</v>
      </c>
      <c r="C85" t="s">
        <v>353</v>
      </c>
      <c r="D85" t="s">
        <v>354</v>
      </c>
      <c r="E85" t="s">
        <v>73</v>
      </c>
      <c r="F85" t="s">
        <v>73</v>
      </c>
      <c r="G85" t="s">
        <v>175</v>
      </c>
      <c r="H85" s="1"/>
      <c r="I85" t="s">
        <v>355</v>
      </c>
      <c r="J85" t="s">
        <v>170</v>
      </c>
    </row>
    <row r="86" spans="1:12" x14ac:dyDescent="0.35">
      <c r="A86" t="s">
        <v>70</v>
      </c>
      <c r="B86" t="s">
        <v>172</v>
      </c>
      <c r="C86" t="s">
        <v>356</v>
      </c>
      <c r="D86" t="s">
        <v>357</v>
      </c>
      <c r="F86" t="s">
        <v>73</v>
      </c>
      <c r="G86" t="s">
        <v>29</v>
      </c>
      <c r="H86" s="1"/>
    </row>
    <row r="87" spans="1:12" x14ac:dyDescent="0.35">
      <c r="A87" t="s">
        <v>70</v>
      </c>
      <c r="B87" t="s">
        <v>172</v>
      </c>
      <c r="C87" t="s">
        <v>358</v>
      </c>
      <c r="D87" t="s">
        <v>359</v>
      </c>
      <c r="E87" t="s">
        <v>88</v>
      </c>
      <c r="F87" t="s">
        <v>308</v>
      </c>
      <c r="G87" t="s">
        <v>203</v>
      </c>
      <c r="H87" s="1"/>
    </row>
    <row r="88" spans="1:12" x14ac:dyDescent="0.35">
      <c r="A88" t="s">
        <v>70</v>
      </c>
      <c r="B88" t="s">
        <v>172</v>
      </c>
      <c r="C88" t="s">
        <v>360</v>
      </c>
      <c r="D88" t="s">
        <v>361</v>
      </c>
      <c r="E88" t="s">
        <v>88</v>
      </c>
      <c r="F88" t="s">
        <v>308</v>
      </c>
      <c r="G88" t="s">
        <v>175</v>
      </c>
      <c r="H88" s="1"/>
    </row>
    <row r="89" spans="1:12" x14ac:dyDescent="0.35">
      <c r="A89" t="s">
        <v>70</v>
      </c>
      <c r="B89" t="s">
        <v>172</v>
      </c>
      <c r="C89" t="s">
        <v>362</v>
      </c>
      <c r="D89" t="s">
        <v>363</v>
      </c>
      <c r="E89" t="s">
        <v>88</v>
      </c>
      <c r="F89" t="s">
        <v>308</v>
      </c>
      <c r="G89" t="s">
        <v>175</v>
      </c>
      <c r="H89" s="1"/>
    </row>
    <row r="90" spans="1:12" x14ac:dyDescent="0.35">
      <c r="A90" t="s">
        <v>70</v>
      </c>
      <c r="B90" t="s">
        <v>172</v>
      </c>
      <c r="C90" t="s">
        <v>364</v>
      </c>
      <c r="D90" t="s">
        <v>365</v>
      </c>
      <c r="E90" t="s">
        <v>88</v>
      </c>
      <c r="F90" t="s">
        <v>308</v>
      </c>
      <c r="G90" t="s">
        <v>203</v>
      </c>
      <c r="H90" s="1"/>
    </row>
    <row r="91" spans="1:12" x14ac:dyDescent="0.35">
      <c r="A91" t="s">
        <v>70</v>
      </c>
      <c r="B91" t="s">
        <v>172</v>
      </c>
      <c r="C91" t="s">
        <v>366</v>
      </c>
      <c r="D91" t="s">
        <v>367</v>
      </c>
      <c r="E91" t="s">
        <v>88</v>
      </c>
      <c r="F91" t="s">
        <v>308</v>
      </c>
      <c r="G91" t="s">
        <v>33</v>
      </c>
      <c r="H91" s="1"/>
    </row>
    <row r="92" spans="1:12" x14ac:dyDescent="0.35">
      <c r="A92" t="s">
        <v>95</v>
      </c>
      <c r="B92" t="s">
        <v>172</v>
      </c>
      <c r="C92" t="s">
        <v>892</v>
      </c>
      <c r="D92" t="s">
        <v>893</v>
      </c>
      <c r="F92" t="s">
        <v>106</v>
      </c>
      <c r="G92" t="s">
        <v>243</v>
      </c>
      <c r="H92" s="1"/>
      <c r="K92" t="s">
        <v>806</v>
      </c>
      <c r="L92" t="s">
        <v>823</v>
      </c>
    </row>
    <row r="93" spans="1:12" x14ac:dyDescent="0.35">
      <c r="A93" t="s">
        <v>95</v>
      </c>
      <c r="B93" t="s">
        <v>172</v>
      </c>
      <c r="C93" t="s">
        <v>368</v>
      </c>
      <c r="D93" t="s">
        <v>369</v>
      </c>
      <c r="E93" t="s">
        <v>370</v>
      </c>
      <c r="F93" t="s">
        <v>106</v>
      </c>
      <c r="G93" t="s">
        <v>221</v>
      </c>
      <c r="H93" s="1"/>
      <c r="I93" t="s">
        <v>894</v>
      </c>
      <c r="J93" t="s">
        <v>168</v>
      </c>
      <c r="K93" t="s">
        <v>803</v>
      </c>
      <c r="L93" t="s">
        <v>821</v>
      </c>
    </row>
    <row r="94" spans="1:12" x14ac:dyDescent="0.35">
      <c r="A94" t="s">
        <v>95</v>
      </c>
      <c r="B94" t="s">
        <v>172</v>
      </c>
      <c r="C94" t="s">
        <v>368</v>
      </c>
      <c r="D94" t="s">
        <v>369</v>
      </c>
      <c r="E94" t="s">
        <v>370</v>
      </c>
      <c r="F94" t="s">
        <v>106</v>
      </c>
      <c r="G94" t="s">
        <v>221</v>
      </c>
      <c r="H94" s="1"/>
      <c r="I94" t="s">
        <v>895</v>
      </c>
      <c r="J94" t="s">
        <v>168</v>
      </c>
      <c r="K94" t="s">
        <v>803</v>
      </c>
      <c r="L94" t="s">
        <v>821</v>
      </c>
    </row>
    <row r="95" spans="1:12" x14ac:dyDescent="0.35">
      <c r="A95" t="s">
        <v>95</v>
      </c>
      <c r="B95" t="s">
        <v>172</v>
      </c>
      <c r="C95" t="s">
        <v>371</v>
      </c>
      <c r="D95" t="s">
        <v>372</v>
      </c>
      <c r="E95" t="s">
        <v>373</v>
      </c>
      <c r="F95" t="s">
        <v>109</v>
      </c>
      <c r="G95" t="s">
        <v>52</v>
      </c>
      <c r="H95" s="1"/>
      <c r="I95" t="s">
        <v>374</v>
      </c>
      <c r="J95" t="s">
        <v>168</v>
      </c>
      <c r="K95" t="s">
        <v>803</v>
      </c>
      <c r="L95" t="s">
        <v>821</v>
      </c>
    </row>
    <row r="96" spans="1:12" x14ac:dyDescent="0.35">
      <c r="A96" t="s">
        <v>95</v>
      </c>
      <c r="B96" t="s">
        <v>172</v>
      </c>
      <c r="C96" t="s">
        <v>375</v>
      </c>
      <c r="D96" t="s">
        <v>376</v>
      </c>
      <c r="E96" t="s">
        <v>370</v>
      </c>
      <c r="F96" t="s">
        <v>109</v>
      </c>
      <c r="G96" t="s">
        <v>221</v>
      </c>
      <c r="H96" s="1"/>
      <c r="I96" t="s">
        <v>377</v>
      </c>
      <c r="J96" t="s">
        <v>170</v>
      </c>
      <c r="K96" t="s">
        <v>804</v>
      </c>
      <c r="L96" t="s">
        <v>822</v>
      </c>
    </row>
    <row r="97" spans="1:12" x14ac:dyDescent="0.35">
      <c r="A97" t="s">
        <v>95</v>
      </c>
      <c r="B97" t="s">
        <v>172</v>
      </c>
      <c r="C97" t="s">
        <v>378</v>
      </c>
      <c r="D97" t="s">
        <v>379</v>
      </c>
      <c r="F97" t="s">
        <v>109</v>
      </c>
      <c r="G97" t="s">
        <v>175</v>
      </c>
      <c r="H97" s="1"/>
      <c r="K97" t="s">
        <v>805</v>
      </c>
      <c r="L97" t="s">
        <v>830</v>
      </c>
    </row>
    <row r="98" spans="1:12" x14ac:dyDescent="0.35">
      <c r="A98" t="s">
        <v>95</v>
      </c>
      <c r="B98" t="s">
        <v>172</v>
      </c>
      <c r="C98" t="s">
        <v>380</v>
      </c>
      <c r="D98" t="s">
        <v>381</v>
      </c>
      <c r="F98" t="s">
        <v>370</v>
      </c>
      <c r="G98" t="s">
        <v>29</v>
      </c>
      <c r="H98" s="1"/>
      <c r="I98" t="s">
        <v>382</v>
      </c>
      <c r="J98" t="s">
        <v>170</v>
      </c>
      <c r="K98" t="s">
        <v>809</v>
      </c>
      <c r="L98" t="s">
        <v>829</v>
      </c>
    </row>
    <row r="99" spans="1:12" x14ac:dyDescent="0.35">
      <c r="A99" t="s">
        <v>95</v>
      </c>
      <c r="B99" t="s">
        <v>172</v>
      </c>
      <c r="C99" t="s">
        <v>383</v>
      </c>
      <c r="D99" t="s">
        <v>384</v>
      </c>
      <c r="E99" t="s">
        <v>896</v>
      </c>
      <c r="F99" t="s">
        <v>112</v>
      </c>
      <c r="G99" t="s">
        <v>52</v>
      </c>
      <c r="H99" s="1"/>
      <c r="K99" t="s">
        <v>807</v>
      </c>
      <c r="L99" t="s">
        <v>821</v>
      </c>
    </row>
    <row r="100" spans="1:12" x14ac:dyDescent="0.35">
      <c r="A100" t="s">
        <v>95</v>
      </c>
      <c r="B100" t="s">
        <v>172</v>
      </c>
      <c r="C100" t="s">
        <v>386</v>
      </c>
      <c r="D100" t="s">
        <v>387</v>
      </c>
      <c r="F100" t="s">
        <v>388</v>
      </c>
      <c r="G100" t="s">
        <v>243</v>
      </c>
      <c r="H100" s="1"/>
    </row>
    <row r="101" spans="1:12" x14ac:dyDescent="0.35">
      <c r="A101" t="s">
        <v>95</v>
      </c>
      <c r="B101" t="s">
        <v>172</v>
      </c>
      <c r="C101" t="s">
        <v>389</v>
      </c>
      <c r="D101" t="s">
        <v>390</v>
      </c>
      <c r="E101" t="s">
        <v>391</v>
      </c>
      <c r="F101" t="s">
        <v>112</v>
      </c>
      <c r="G101" t="s">
        <v>278</v>
      </c>
      <c r="H101" s="1"/>
      <c r="I101" t="s">
        <v>392</v>
      </c>
      <c r="J101" t="s">
        <v>168</v>
      </c>
      <c r="K101" t="s">
        <v>803</v>
      </c>
      <c r="L101" t="s">
        <v>821</v>
      </c>
    </row>
    <row r="102" spans="1:12" x14ac:dyDescent="0.35">
      <c r="A102" t="s">
        <v>95</v>
      </c>
      <c r="B102" t="s">
        <v>172</v>
      </c>
      <c r="C102" t="s">
        <v>393</v>
      </c>
      <c r="D102" t="s">
        <v>394</v>
      </c>
      <c r="E102" t="s">
        <v>385</v>
      </c>
      <c r="F102" t="s">
        <v>112</v>
      </c>
      <c r="G102" t="s">
        <v>221</v>
      </c>
      <c r="H102" s="1"/>
      <c r="K102" t="s">
        <v>808</v>
      </c>
      <c r="L102" t="s">
        <v>822</v>
      </c>
    </row>
    <row r="103" spans="1:12" x14ac:dyDescent="0.35">
      <c r="A103" t="s">
        <v>95</v>
      </c>
      <c r="B103" t="s">
        <v>172</v>
      </c>
      <c r="C103" t="s">
        <v>395</v>
      </c>
      <c r="D103" t="s">
        <v>396</v>
      </c>
      <c r="F103" t="s">
        <v>397</v>
      </c>
      <c r="G103" t="s">
        <v>29</v>
      </c>
      <c r="H103" s="1"/>
      <c r="K103" t="s">
        <v>806</v>
      </c>
      <c r="L103" t="s">
        <v>823</v>
      </c>
    </row>
    <row r="104" spans="1:12" x14ac:dyDescent="0.35">
      <c r="A104" t="s">
        <v>95</v>
      </c>
      <c r="B104" t="s">
        <v>172</v>
      </c>
      <c r="C104" t="s">
        <v>398</v>
      </c>
      <c r="D104" t="s">
        <v>399</v>
      </c>
      <c r="F104" t="s">
        <v>397</v>
      </c>
      <c r="G104" t="s">
        <v>243</v>
      </c>
      <c r="H104" s="1"/>
      <c r="I104" t="s">
        <v>400</v>
      </c>
      <c r="J104" t="s">
        <v>297</v>
      </c>
      <c r="K104" t="s">
        <v>805</v>
      </c>
      <c r="L104" t="s">
        <v>830</v>
      </c>
    </row>
    <row r="105" spans="1:12" x14ac:dyDescent="0.35">
      <c r="A105" t="s">
        <v>95</v>
      </c>
      <c r="B105" t="s">
        <v>172</v>
      </c>
      <c r="C105" t="s">
        <v>401</v>
      </c>
      <c r="D105" t="s">
        <v>402</v>
      </c>
      <c r="F105" t="s">
        <v>397</v>
      </c>
      <c r="G105" t="s">
        <v>29</v>
      </c>
      <c r="H105" s="1"/>
      <c r="I105" t="s">
        <v>897</v>
      </c>
      <c r="J105" t="s">
        <v>297</v>
      </c>
      <c r="K105" t="s">
        <v>805</v>
      </c>
      <c r="L105" t="s">
        <v>830</v>
      </c>
    </row>
    <row r="106" spans="1:12" x14ac:dyDescent="0.35">
      <c r="A106" t="s">
        <v>95</v>
      </c>
      <c r="B106" t="s">
        <v>172</v>
      </c>
      <c r="C106" t="s">
        <v>401</v>
      </c>
      <c r="D106" t="s">
        <v>402</v>
      </c>
      <c r="F106" t="s">
        <v>397</v>
      </c>
      <c r="G106" t="s">
        <v>29</v>
      </c>
      <c r="H106" s="1"/>
      <c r="I106" t="s">
        <v>898</v>
      </c>
      <c r="J106" t="s">
        <v>297</v>
      </c>
      <c r="K106" t="s">
        <v>805</v>
      </c>
      <c r="L106" t="s">
        <v>830</v>
      </c>
    </row>
    <row r="107" spans="1:12" x14ac:dyDescent="0.35">
      <c r="A107" t="s">
        <v>95</v>
      </c>
      <c r="B107" t="s">
        <v>172</v>
      </c>
      <c r="C107" t="s">
        <v>401</v>
      </c>
      <c r="D107" t="s">
        <v>402</v>
      </c>
      <c r="F107" t="s">
        <v>397</v>
      </c>
      <c r="G107" t="s">
        <v>29</v>
      </c>
      <c r="H107" s="1"/>
      <c r="I107" t="s">
        <v>899</v>
      </c>
      <c r="J107" t="s">
        <v>171</v>
      </c>
      <c r="K107" t="s">
        <v>805</v>
      </c>
      <c r="L107" t="s">
        <v>830</v>
      </c>
    </row>
    <row r="108" spans="1:12" x14ac:dyDescent="0.35">
      <c r="A108" t="s">
        <v>95</v>
      </c>
      <c r="B108" t="s">
        <v>172</v>
      </c>
      <c r="C108" t="s">
        <v>401</v>
      </c>
      <c r="D108" t="s">
        <v>402</v>
      </c>
      <c r="F108" t="s">
        <v>397</v>
      </c>
      <c r="G108" t="s">
        <v>29</v>
      </c>
      <c r="H108" s="1"/>
      <c r="I108" t="s">
        <v>900</v>
      </c>
      <c r="J108" t="s">
        <v>171</v>
      </c>
      <c r="K108" t="s">
        <v>805</v>
      </c>
      <c r="L108" t="s">
        <v>830</v>
      </c>
    </row>
    <row r="109" spans="1:12" x14ac:dyDescent="0.35">
      <c r="A109" t="s">
        <v>95</v>
      </c>
      <c r="B109" t="s">
        <v>172</v>
      </c>
      <c r="C109" t="s">
        <v>401</v>
      </c>
      <c r="D109" t="s">
        <v>402</v>
      </c>
      <c r="F109" t="s">
        <v>397</v>
      </c>
      <c r="G109" t="s">
        <v>29</v>
      </c>
      <c r="H109" s="1"/>
      <c r="I109" t="s">
        <v>901</v>
      </c>
      <c r="J109" t="s">
        <v>171</v>
      </c>
      <c r="K109" t="s">
        <v>805</v>
      </c>
      <c r="L109" t="s">
        <v>830</v>
      </c>
    </row>
    <row r="110" spans="1:12" x14ac:dyDescent="0.35">
      <c r="A110" t="s">
        <v>95</v>
      </c>
      <c r="B110" t="s">
        <v>172</v>
      </c>
      <c r="C110" t="s">
        <v>401</v>
      </c>
      <c r="D110" t="s">
        <v>402</v>
      </c>
      <c r="F110" t="s">
        <v>397</v>
      </c>
      <c r="G110" t="s">
        <v>29</v>
      </c>
      <c r="H110" s="1"/>
      <c r="I110" t="s">
        <v>902</v>
      </c>
      <c r="J110" t="s">
        <v>171</v>
      </c>
      <c r="K110" t="s">
        <v>805</v>
      </c>
      <c r="L110" t="s">
        <v>830</v>
      </c>
    </row>
    <row r="111" spans="1:12" x14ac:dyDescent="0.35">
      <c r="A111" t="s">
        <v>95</v>
      </c>
      <c r="B111" t="s">
        <v>172</v>
      </c>
      <c r="C111" t="s">
        <v>403</v>
      </c>
      <c r="D111" t="s">
        <v>404</v>
      </c>
      <c r="F111" t="s">
        <v>388</v>
      </c>
      <c r="G111" t="s">
        <v>243</v>
      </c>
      <c r="H111" s="1"/>
    </row>
    <row r="112" spans="1:12" x14ac:dyDescent="0.35">
      <c r="A112" t="s">
        <v>95</v>
      </c>
      <c r="B112" t="s">
        <v>172</v>
      </c>
      <c r="C112" t="s">
        <v>405</v>
      </c>
      <c r="D112" t="s">
        <v>406</v>
      </c>
      <c r="F112" t="s">
        <v>388</v>
      </c>
      <c r="G112" t="s">
        <v>29</v>
      </c>
      <c r="H112" s="1"/>
    </row>
    <row r="113" spans="1:12" x14ac:dyDescent="0.35">
      <c r="A113" t="s">
        <v>95</v>
      </c>
      <c r="B113" t="s">
        <v>172</v>
      </c>
      <c r="C113" t="s">
        <v>407</v>
      </c>
      <c r="D113" t="s">
        <v>408</v>
      </c>
      <c r="F113" t="s">
        <v>112</v>
      </c>
      <c r="G113" t="s">
        <v>29</v>
      </c>
      <c r="H113" s="1"/>
      <c r="I113" t="s">
        <v>486</v>
      </c>
      <c r="J113" t="s">
        <v>297</v>
      </c>
      <c r="K113" t="s">
        <v>805</v>
      </c>
      <c r="L113" t="s">
        <v>830</v>
      </c>
    </row>
    <row r="114" spans="1:12" x14ac:dyDescent="0.35">
      <c r="A114" t="s">
        <v>95</v>
      </c>
      <c r="B114" t="s">
        <v>172</v>
      </c>
      <c r="C114" t="s">
        <v>407</v>
      </c>
      <c r="D114" t="s">
        <v>408</v>
      </c>
      <c r="F114" t="s">
        <v>112</v>
      </c>
      <c r="G114" t="s">
        <v>29</v>
      </c>
      <c r="H114" s="1"/>
      <c r="I114" t="s">
        <v>903</v>
      </c>
      <c r="J114" t="s">
        <v>297</v>
      </c>
      <c r="K114" t="s">
        <v>805</v>
      </c>
      <c r="L114" t="s">
        <v>830</v>
      </c>
    </row>
    <row r="115" spans="1:12" x14ac:dyDescent="0.35">
      <c r="A115" t="s">
        <v>95</v>
      </c>
      <c r="B115" t="s">
        <v>172</v>
      </c>
      <c r="C115" t="s">
        <v>407</v>
      </c>
      <c r="D115" t="s">
        <v>408</v>
      </c>
      <c r="F115" t="s">
        <v>112</v>
      </c>
      <c r="G115" t="s">
        <v>29</v>
      </c>
      <c r="H115" s="1"/>
      <c r="I115" t="s">
        <v>904</v>
      </c>
      <c r="J115" t="s">
        <v>297</v>
      </c>
      <c r="K115" t="s">
        <v>805</v>
      </c>
      <c r="L115" t="s">
        <v>830</v>
      </c>
    </row>
    <row r="116" spans="1:12" x14ac:dyDescent="0.35">
      <c r="A116" t="s">
        <v>95</v>
      </c>
      <c r="B116" t="s">
        <v>172</v>
      </c>
      <c r="C116" t="s">
        <v>407</v>
      </c>
      <c r="D116" t="s">
        <v>408</v>
      </c>
      <c r="F116" t="s">
        <v>112</v>
      </c>
      <c r="G116" t="s">
        <v>29</v>
      </c>
      <c r="H116" s="1"/>
      <c r="I116" t="s">
        <v>905</v>
      </c>
      <c r="J116" t="s">
        <v>297</v>
      </c>
      <c r="K116" t="s">
        <v>805</v>
      </c>
      <c r="L116" t="s">
        <v>830</v>
      </c>
    </row>
    <row r="117" spans="1:12" x14ac:dyDescent="0.35">
      <c r="A117" t="s">
        <v>95</v>
      </c>
      <c r="B117" t="s">
        <v>172</v>
      </c>
      <c r="C117" t="s">
        <v>407</v>
      </c>
      <c r="D117" t="s">
        <v>408</v>
      </c>
      <c r="F117" t="s">
        <v>112</v>
      </c>
      <c r="G117" t="s">
        <v>29</v>
      </c>
      <c r="H117" s="1"/>
      <c r="I117" t="s">
        <v>906</v>
      </c>
      <c r="J117" t="s">
        <v>297</v>
      </c>
      <c r="K117" t="s">
        <v>805</v>
      </c>
      <c r="L117" t="s">
        <v>830</v>
      </c>
    </row>
    <row r="118" spans="1:12" x14ac:dyDescent="0.35">
      <c r="A118" t="s">
        <v>95</v>
      </c>
      <c r="B118" t="s">
        <v>172</v>
      </c>
      <c r="C118" t="s">
        <v>407</v>
      </c>
      <c r="D118" t="s">
        <v>408</v>
      </c>
      <c r="F118" t="s">
        <v>112</v>
      </c>
      <c r="G118" t="s">
        <v>29</v>
      </c>
      <c r="H118" s="1"/>
      <c r="I118" t="s">
        <v>907</v>
      </c>
      <c r="J118" t="s">
        <v>297</v>
      </c>
      <c r="K118" t="s">
        <v>805</v>
      </c>
      <c r="L118" t="s">
        <v>830</v>
      </c>
    </row>
    <row r="119" spans="1:12" x14ac:dyDescent="0.35">
      <c r="A119" t="s">
        <v>95</v>
      </c>
      <c r="B119" t="s">
        <v>172</v>
      </c>
      <c r="C119" t="s">
        <v>407</v>
      </c>
      <c r="D119" t="s">
        <v>408</v>
      </c>
      <c r="F119" t="s">
        <v>112</v>
      </c>
      <c r="G119" t="s">
        <v>29</v>
      </c>
      <c r="H119" s="1"/>
      <c r="I119" t="s">
        <v>462</v>
      </c>
      <c r="J119" t="s">
        <v>297</v>
      </c>
      <c r="K119" t="s">
        <v>805</v>
      </c>
      <c r="L119" t="s">
        <v>830</v>
      </c>
    </row>
    <row r="120" spans="1:12" x14ac:dyDescent="0.35">
      <c r="A120" t="s">
        <v>95</v>
      </c>
      <c r="B120" t="s">
        <v>172</v>
      </c>
      <c r="C120" t="s">
        <v>407</v>
      </c>
      <c r="D120" t="s">
        <v>408</v>
      </c>
      <c r="F120" t="s">
        <v>112</v>
      </c>
      <c r="G120" t="s">
        <v>29</v>
      </c>
      <c r="H120" s="1"/>
      <c r="I120" t="s">
        <v>413</v>
      </c>
      <c r="J120" t="s">
        <v>297</v>
      </c>
      <c r="K120" t="s">
        <v>805</v>
      </c>
      <c r="L120" t="s">
        <v>830</v>
      </c>
    </row>
    <row r="121" spans="1:12" x14ac:dyDescent="0.35">
      <c r="A121" t="s">
        <v>95</v>
      </c>
      <c r="B121" t="s">
        <v>172</v>
      </c>
      <c r="C121" t="s">
        <v>409</v>
      </c>
      <c r="D121" t="s">
        <v>410</v>
      </c>
      <c r="F121" t="s">
        <v>112</v>
      </c>
      <c r="G121" t="s">
        <v>29</v>
      </c>
      <c r="H121" s="1"/>
      <c r="K121" t="s">
        <v>805</v>
      </c>
      <c r="L121" t="s">
        <v>830</v>
      </c>
    </row>
    <row r="122" spans="1:12" x14ac:dyDescent="0.35">
      <c r="A122" t="s">
        <v>95</v>
      </c>
      <c r="B122" t="s">
        <v>172</v>
      </c>
      <c r="C122" t="s">
        <v>411</v>
      </c>
      <c r="D122" t="s">
        <v>412</v>
      </c>
      <c r="F122" t="s">
        <v>112</v>
      </c>
      <c r="G122" t="s">
        <v>29</v>
      </c>
      <c r="H122" s="1"/>
      <c r="I122" t="s">
        <v>908</v>
      </c>
      <c r="J122" t="s">
        <v>297</v>
      </c>
      <c r="K122" t="s">
        <v>806</v>
      </c>
      <c r="L122" t="s">
        <v>823</v>
      </c>
    </row>
    <row r="123" spans="1:12" x14ac:dyDescent="0.35">
      <c r="A123" t="s">
        <v>95</v>
      </c>
      <c r="B123" t="s">
        <v>172</v>
      </c>
      <c r="C123" t="s">
        <v>411</v>
      </c>
      <c r="D123" t="s">
        <v>412</v>
      </c>
      <c r="F123" t="s">
        <v>112</v>
      </c>
      <c r="G123" t="s">
        <v>29</v>
      </c>
      <c r="H123" s="1"/>
      <c r="I123" t="s">
        <v>909</v>
      </c>
      <c r="J123" t="s">
        <v>297</v>
      </c>
      <c r="K123" t="s">
        <v>806</v>
      </c>
      <c r="L123" t="s">
        <v>823</v>
      </c>
    </row>
    <row r="124" spans="1:12" x14ac:dyDescent="0.35">
      <c r="A124" t="s">
        <v>95</v>
      </c>
      <c r="B124" t="s">
        <v>172</v>
      </c>
      <c r="C124" t="s">
        <v>411</v>
      </c>
      <c r="D124" t="s">
        <v>412</v>
      </c>
      <c r="F124" t="s">
        <v>112</v>
      </c>
      <c r="G124" t="s">
        <v>29</v>
      </c>
      <c r="H124" s="1"/>
      <c r="I124" t="s">
        <v>910</v>
      </c>
      <c r="J124" t="s">
        <v>171</v>
      </c>
      <c r="K124" t="s">
        <v>806</v>
      </c>
      <c r="L124" t="s">
        <v>823</v>
      </c>
    </row>
    <row r="125" spans="1:12" x14ac:dyDescent="0.35">
      <c r="A125" t="s">
        <v>95</v>
      </c>
      <c r="B125" t="s">
        <v>172</v>
      </c>
      <c r="C125" t="s">
        <v>413</v>
      </c>
      <c r="D125" t="s">
        <v>414</v>
      </c>
      <c r="F125" t="s">
        <v>397</v>
      </c>
      <c r="G125" t="s">
        <v>29</v>
      </c>
      <c r="H125" s="1"/>
      <c r="I125" t="s">
        <v>407</v>
      </c>
      <c r="J125" t="s">
        <v>171</v>
      </c>
      <c r="K125" t="s">
        <v>806</v>
      </c>
      <c r="L125" t="s">
        <v>823</v>
      </c>
    </row>
    <row r="126" spans="1:12" x14ac:dyDescent="0.35">
      <c r="A126" t="s">
        <v>95</v>
      </c>
      <c r="B126" t="s">
        <v>172</v>
      </c>
      <c r="C126" t="s">
        <v>415</v>
      </c>
      <c r="D126" t="s">
        <v>416</v>
      </c>
      <c r="F126" t="s">
        <v>106</v>
      </c>
      <c r="G126" t="s">
        <v>243</v>
      </c>
      <c r="H126" s="1"/>
      <c r="K126" t="s">
        <v>809</v>
      </c>
      <c r="L126" t="s">
        <v>829</v>
      </c>
    </row>
    <row r="127" spans="1:12" x14ac:dyDescent="0.35">
      <c r="A127" t="s">
        <v>95</v>
      </c>
      <c r="B127" t="s">
        <v>172</v>
      </c>
      <c r="C127" t="s">
        <v>417</v>
      </c>
      <c r="D127" t="s">
        <v>911</v>
      </c>
      <c r="F127" t="s">
        <v>106</v>
      </c>
      <c r="G127" t="s">
        <v>203</v>
      </c>
      <c r="H127" s="1"/>
      <c r="I127" t="s">
        <v>426</v>
      </c>
      <c r="J127" t="s">
        <v>297</v>
      </c>
    </row>
    <row r="128" spans="1:12" x14ac:dyDescent="0.35">
      <c r="A128" t="s">
        <v>95</v>
      </c>
      <c r="B128" t="s">
        <v>172</v>
      </c>
      <c r="C128" t="s">
        <v>417</v>
      </c>
      <c r="D128" t="s">
        <v>911</v>
      </c>
      <c r="F128" t="s">
        <v>106</v>
      </c>
      <c r="G128" t="s">
        <v>203</v>
      </c>
      <c r="H128" s="1"/>
      <c r="I128" t="s">
        <v>418</v>
      </c>
      <c r="J128" t="s">
        <v>297</v>
      </c>
    </row>
    <row r="129" spans="1:12" x14ac:dyDescent="0.35">
      <c r="A129" t="s">
        <v>95</v>
      </c>
      <c r="B129" t="s">
        <v>172</v>
      </c>
      <c r="C129" t="s">
        <v>418</v>
      </c>
      <c r="D129" t="s">
        <v>912</v>
      </c>
      <c r="F129" t="s">
        <v>106</v>
      </c>
      <c r="G129" t="s">
        <v>203</v>
      </c>
      <c r="H129" s="1"/>
      <c r="I129" t="s">
        <v>426</v>
      </c>
      <c r="J129" t="s">
        <v>297</v>
      </c>
    </row>
    <row r="130" spans="1:12" x14ac:dyDescent="0.35">
      <c r="A130" t="s">
        <v>95</v>
      </c>
      <c r="B130" t="s">
        <v>172</v>
      </c>
      <c r="C130" t="s">
        <v>418</v>
      </c>
      <c r="D130" t="s">
        <v>912</v>
      </c>
      <c r="F130" t="s">
        <v>106</v>
      </c>
      <c r="G130" t="s">
        <v>203</v>
      </c>
      <c r="H130" s="1"/>
      <c r="I130" t="s">
        <v>417</v>
      </c>
      <c r="J130" t="s">
        <v>171</v>
      </c>
    </row>
    <row r="131" spans="1:12" x14ac:dyDescent="0.35">
      <c r="A131" t="s">
        <v>95</v>
      </c>
      <c r="B131" t="s">
        <v>172</v>
      </c>
      <c r="C131" t="s">
        <v>419</v>
      </c>
      <c r="D131" t="s">
        <v>420</v>
      </c>
      <c r="F131" t="s">
        <v>106</v>
      </c>
      <c r="G131" t="s">
        <v>203</v>
      </c>
      <c r="H131" s="1"/>
    </row>
    <row r="132" spans="1:12" x14ac:dyDescent="0.35">
      <c r="A132" t="s">
        <v>95</v>
      </c>
      <c r="B132" t="s">
        <v>172</v>
      </c>
      <c r="C132" t="s">
        <v>421</v>
      </c>
      <c r="D132" t="s">
        <v>913</v>
      </c>
      <c r="F132" t="s">
        <v>106</v>
      </c>
      <c r="G132" t="s">
        <v>175</v>
      </c>
      <c r="H132" s="1"/>
      <c r="I132" t="s">
        <v>427</v>
      </c>
      <c r="J132" t="s">
        <v>297</v>
      </c>
      <c r="K132" t="s">
        <v>809</v>
      </c>
      <c r="L132" t="s">
        <v>829</v>
      </c>
    </row>
    <row r="133" spans="1:12" x14ac:dyDescent="0.35">
      <c r="A133" t="s">
        <v>95</v>
      </c>
      <c r="B133" t="s">
        <v>172</v>
      </c>
      <c r="C133" t="s">
        <v>421</v>
      </c>
      <c r="D133" t="s">
        <v>913</v>
      </c>
      <c r="F133" t="s">
        <v>106</v>
      </c>
      <c r="G133" t="s">
        <v>175</v>
      </c>
      <c r="H133" s="1"/>
      <c r="I133" t="s">
        <v>914</v>
      </c>
      <c r="J133" t="s">
        <v>422</v>
      </c>
      <c r="K133" t="s">
        <v>809</v>
      </c>
      <c r="L133" t="s">
        <v>829</v>
      </c>
    </row>
    <row r="134" spans="1:12" x14ac:dyDescent="0.35">
      <c r="A134" t="s">
        <v>95</v>
      </c>
      <c r="B134" t="s">
        <v>172</v>
      </c>
      <c r="C134" t="s">
        <v>423</v>
      </c>
      <c r="D134" t="s">
        <v>915</v>
      </c>
      <c r="F134" t="s">
        <v>106</v>
      </c>
      <c r="G134" t="s">
        <v>175</v>
      </c>
      <c r="H134" s="1"/>
      <c r="I134" t="s">
        <v>427</v>
      </c>
      <c r="J134" t="s">
        <v>297</v>
      </c>
      <c r="K134" t="s">
        <v>810</v>
      </c>
      <c r="L134" t="s">
        <v>831</v>
      </c>
    </row>
    <row r="135" spans="1:12" x14ac:dyDescent="0.35">
      <c r="A135" t="s">
        <v>95</v>
      </c>
      <c r="B135" t="s">
        <v>172</v>
      </c>
      <c r="C135" t="s">
        <v>423</v>
      </c>
      <c r="D135" t="s">
        <v>915</v>
      </c>
      <c r="F135" t="s">
        <v>106</v>
      </c>
      <c r="G135" t="s">
        <v>175</v>
      </c>
      <c r="H135" s="1"/>
      <c r="I135" t="s">
        <v>916</v>
      </c>
      <c r="J135" t="s">
        <v>422</v>
      </c>
      <c r="K135" t="s">
        <v>810</v>
      </c>
      <c r="L135" t="s">
        <v>831</v>
      </c>
    </row>
    <row r="136" spans="1:12" x14ac:dyDescent="0.35">
      <c r="A136" t="s">
        <v>95</v>
      </c>
      <c r="B136" t="s">
        <v>172</v>
      </c>
      <c r="C136" t="s">
        <v>424</v>
      </c>
      <c r="D136" t="s">
        <v>425</v>
      </c>
      <c r="F136" t="s">
        <v>106</v>
      </c>
      <c r="G136" t="s">
        <v>243</v>
      </c>
      <c r="H136" s="1"/>
      <c r="I136" t="s">
        <v>427</v>
      </c>
      <c r="J136" t="s">
        <v>297</v>
      </c>
      <c r="K136" t="s">
        <v>806</v>
      </c>
      <c r="L136" t="s">
        <v>823</v>
      </c>
    </row>
    <row r="137" spans="1:12" x14ac:dyDescent="0.35">
      <c r="A137" t="s">
        <v>95</v>
      </c>
      <c r="B137" t="s">
        <v>172</v>
      </c>
      <c r="C137" t="s">
        <v>424</v>
      </c>
      <c r="D137" t="s">
        <v>425</v>
      </c>
      <c r="F137" t="s">
        <v>106</v>
      </c>
      <c r="G137" t="s">
        <v>243</v>
      </c>
      <c r="H137" s="1"/>
      <c r="I137" t="s">
        <v>917</v>
      </c>
      <c r="J137" t="s">
        <v>422</v>
      </c>
      <c r="K137" t="s">
        <v>806</v>
      </c>
      <c r="L137" t="s">
        <v>823</v>
      </c>
    </row>
    <row r="138" spans="1:12" x14ac:dyDescent="0.35">
      <c r="A138" t="s">
        <v>95</v>
      </c>
      <c r="B138" t="s">
        <v>172</v>
      </c>
      <c r="C138" t="s">
        <v>426</v>
      </c>
      <c r="D138" t="s">
        <v>918</v>
      </c>
      <c r="F138" t="s">
        <v>106</v>
      </c>
      <c r="G138" t="s">
        <v>175</v>
      </c>
      <c r="H138" s="1"/>
      <c r="I138" t="s">
        <v>427</v>
      </c>
      <c r="J138" t="s">
        <v>297</v>
      </c>
      <c r="K138" t="s">
        <v>806</v>
      </c>
      <c r="L138" t="s">
        <v>823</v>
      </c>
    </row>
    <row r="139" spans="1:12" x14ac:dyDescent="0.35">
      <c r="A139" t="s">
        <v>95</v>
      </c>
      <c r="B139" t="s">
        <v>172</v>
      </c>
      <c r="C139" t="s">
        <v>426</v>
      </c>
      <c r="D139" t="s">
        <v>918</v>
      </c>
      <c r="F139" t="s">
        <v>106</v>
      </c>
      <c r="G139" t="s">
        <v>175</v>
      </c>
      <c r="H139" s="1"/>
      <c r="I139" t="s">
        <v>418</v>
      </c>
      <c r="J139" t="s">
        <v>171</v>
      </c>
      <c r="K139" t="s">
        <v>806</v>
      </c>
      <c r="L139" t="s">
        <v>823</v>
      </c>
    </row>
    <row r="140" spans="1:12" x14ac:dyDescent="0.35">
      <c r="A140" t="s">
        <v>95</v>
      </c>
      <c r="B140" t="s">
        <v>172</v>
      </c>
      <c r="C140" t="s">
        <v>426</v>
      </c>
      <c r="D140" t="s">
        <v>918</v>
      </c>
      <c r="F140" t="s">
        <v>106</v>
      </c>
      <c r="G140" t="s">
        <v>175</v>
      </c>
      <c r="H140" s="1"/>
      <c r="I140" t="s">
        <v>417</v>
      </c>
      <c r="J140" t="s">
        <v>171</v>
      </c>
      <c r="K140" t="s">
        <v>806</v>
      </c>
      <c r="L140" t="s">
        <v>823</v>
      </c>
    </row>
    <row r="141" spans="1:12" x14ac:dyDescent="0.35">
      <c r="A141" t="s">
        <v>95</v>
      </c>
      <c r="B141" t="s">
        <v>172</v>
      </c>
      <c r="C141" t="s">
        <v>428</v>
      </c>
      <c r="D141" t="s">
        <v>429</v>
      </c>
      <c r="E141" t="s">
        <v>109</v>
      </c>
      <c r="F141" t="s">
        <v>109</v>
      </c>
      <c r="G141" t="s">
        <v>33</v>
      </c>
      <c r="H141" s="1"/>
      <c r="K141" t="s">
        <v>806</v>
      </c>
      <c r="L141" t="s">
        <v>823</v>
      </c>
    </row>
    <row r="142" spans="1:12" x14ac:dyDescent="0.35">
      <c r="A142" t="s">
        <v>95</v>
      </c>
      <c r="B142" t="s">
        <v>172</v>
      </c>
      <c r="C142" t="s">
        <v>430</v>
      </c>
      <c r="D142" t="s">
        <v>431</v>
      </c>
      <c r="F142" t="s">
        <v>109</v>
      </c>
      <c r="G142" t="s">
        <v>29</v>
      </c>
      <c r="H142" s="1"/>
      <c r="K142" t="s">
        <v>805</v>
      </c>
      <c r="L142" t="s">
        <v>830</v>
      </c>
    </row>
    <row r="143" spans="1:12" x14ac:dyDescent="0.35">
      <c r="A143" t="s">
        <v>95</v>
      </c>
      <c r="B143" t="s">
        <v>172</v>
      </c>
      <c r="C143" t="s">
        <v>432</v>
      </c>
      <c r="D143" t="s">
        <v>433</v>
      </c>
      <c r="E143" t="s">
        <v>109</v>
      </c>
      <c r="F143" t="s">
        <v>109</v>
      </c>
      <c r="G143" t="s">
        <v>33</v>
      </c>
      <c r="H143" s="1"/>
      <c r="K143" t="s">
        <v>806</v>
      </c>
      <c r="L143" t="s">
        <v>823</v>
      </c>
    </row>
    <row r="144" spans="1:12" x14ac:dyDescent="0.35">
      <c r="A144" t="s">
        <v>95</v>
      </c>
      <c r="B144" t="s">
        <v>172</v>
      </c>
      <c r="C144" t="s">
        <v>434</v>
      </c>
      <c r="D144" t="s">
        <v>435</v>
      </c>
      <c r="F144" t="s">
        <v>106</v>
      </c>
      <c r="G144" t="s">
        <v>248</v>
      </c>
      <c r="H144" s="1"/>
      <c r="K144" t="s">
        <v>809</v>
      </c>
      <c r="L144" t="s">
        <v>829</v>
      </c>
    </row>
    <row r="145" spans="1:12" x14ac:dyDescent="0.35">
      <c r="A145" t="s">
        <v>95</v>
      </c>
      <c r="B145" t="s">
        <v>172</v>
      </c>
      <c r="C145" t="s">
        <v>436</v>
      </c>
      <c r="D145" t="s">
        <v>437</v>
      </c>
      <c r="F145" t="s">
        <v>109</v>
      </c>
      <c r="G145" t="s">
        <v>29</v>
      </c>
      <c r="H145" s="1"/>
      <c r="K145" t="s">
        <v>805</v>
      </c>
      <c r="L145" t="s">
        <v>830</v>
      </c>
    </row>
    <row r="146" spans="1:12" x14ac:dyDescent="0.35">
      <c r="A146" t="s">
        <v>95</v>
      </c>
      <c r="B146" t="s">
        <v>172</v>
      </c>
      <c r="C146" t="s">
        <v>438</v>
      </c>
      <c r="D146" t="s">
        <v>439</v>
      </c>
      <c r="F146" t="s">
        <v>109</v>
      </c>
      <c r="G146" t="s">
        <v>175</v>
      </c>
      <c r="H146" s="1"/>
      <c r="K146" t="s">
        <v>805</v>
      </c>
      <c r="L146" t="s">
        <v>830</v>
      </c>
    </row>
    <row r="147" spans="1:12" x14ac:dyDescent="0.35">
      <c r="A147" t="s">
        <v>95</v>
      </c>
      <c r="B147" t="s">
        <v>172</v>
      </c>
      <c r="C147" t="s">
        <v>440</v>
      </c>
      <c r="D147" t="s">
        <v>441</v>
      </c>
      <c r="E147" t="s">
        <v>385</v>
      </c>
      <c r="F147" t="s">
        <v>112</v>
      </c>
      <c r="G147" t="s">
        <v>52</v>
      </c>
      <c r="H147" s="1"/>
      <c r="I147" t="s">
        <v>442</v>
      </c>
      <c r="J147" t="s">
        <v>443</v>
      </c>
      <c r="K147" t="s">
        <v>803</v>
      </c>
      <c r="L147" t="s">
        <v>821</v>
      </c>
    </row>
    <row r="148" spans="1:12" x14ac:dyDescent="0.35">
      <c r="A148" t="s">
        <v>95</v>
      </c>
      <c r="B148" t="s">
        <v>172</v>
      </c>
      <c r="C148" t="s">
        <v>444</v>
      </c>
      <c r="D148" t="s">
        <v>445</v>
      </c>
      <c r="E148" t="s">
        <v>446</v>
      </c>
      <c r="F148" t="s">
        <v>112</v>
      </c>
      <c r="G148" t="s">
        <v>221</v>
      </c>
      <c r="H148" s="1"/>
      <c r="K148" t="s">
        <v>804</v>
      </c>
      <c r="L148" t="s">
        <v>822</v>
      </c>
    </row>
    <row r="149" spans="1:12" x14ac:dyDescent="0.35">
      <c r="A149" t="s">
        <v>95</v>
      </c>
      <c r="B149" t="s">
        <v>172</v>
      </c>
      <c r="C149" t="s">
        <v>447</v>
      </c>
      <c r="D149" t="s">
        <v>448</v>
      </c>
      <c r="F149" t="s">
        <v>109</v>
      </c>
      <c r="G149" t="s">
        <v>29</v>
      </c>
      <c r="H149" s="1"/>
      <c r="I149" t="s">
        <v>919</v>
      </c>
      <c r="J149" t="s">
        <v>171</v>
      </c>
      <c r="K149" t="s">
        <v>805</v>
      </c>
      <c r="L149" t="s">
        <v>830</v>
      </c>
    </row>
    <row r="150" spans="1:12" x14ac:dyDescent="0.35">
      <c r="A150" t="s">
        <v>95</v>
      </c>
      <c r="B150" t="s">
        <v>172</v>
      </c>
      <c r="C150" t="s">
        <v>447</v>
      </c>
      <c r="D150" t="s">
        <v>448</v>
      </c>
      <c r="F150" t="s">
        <v>109</v>
      </c>
      <c r="G150" t="s">
        <v>29</v>
      </c>
      <c r="H150" s="1"/>
      <c r="I150" t="s">
        <v>904</v>
      </c>
      <c r="J150" t="s">
        <v>297</v>
      </c>
      <c r="K150" t="s">
        <v>805</v>
      </c>
      <c r="L150" t="s">
        <v>830</v>
      </c>
    </row>
    <row r="151" spans="1:12" x14ac:dyDescent="0.35">
      <c r="A151" t="s">
        <v>95</v>
      </c>
      <c r="B151" t="s">
        <v>172</v>
      </c>
      <c r="C151" t="s">
        <v>449</v>
      </c>
      <c r="D151" t="s">
        <v>450</v>
      </c>
      <c r="F151" t="s">
        <v>109</v>
      </c>
      <c r="G151" t="s">
        <v>33</v>
      </c>
      <c r="H151" s="1"/>
      <c r="K151" t="s">
        <v>805</v>
      </c>
      <c r="L151" t="s">
        <v>830</v>
      </c>
    </row>
    <row r="152" spans="1:12" x14ac:dyDescent="0.35">
      <c r="A152" t="s">
        <v>95</v>
      </c>
      <c r="B152" t="s">
        <v>172</v>
      </c>
      <c r="C152" t="s">
        <v>451</v>
      </c>
      <c r="D152" t="s">
        <v>452</v>
      </c>
      <c r="F152" t="s">
        <v>112</v>
      </c>
      <c r="G152" t="s">
        <v>175</v>
      </c>
      <c r="H152" s="1"/>
      <c r="K152" t="s">
        <v>810</v>
      </c>
      <c r="L152" t="s">
        <v>831</v>
      </c>
    </row>
    <row r="153" spans="1:12" x14ac:dyDescent="0.35">
      <c r="A153" t="s">
        <v>95</v>
      </c>
      <c r="B153" t="s">
        <v>172</v>
      </c>
      <c r="C153" t="s">
        <v>382</v>
      </c>
      <c r="D153" t="s">
        <v>453</v>
      </c>
      <c r="F153" t="s">
        <v>109</v>
      </c>
      <c r="G153" t="s">
        <v>175</v>
      </c>
      <c r="H153" s="1"/>
      <c r="I153" t="s">
        <v>920</v>
      </c>
      <c r="J153" t="s">
        <v>297</v>
      </c>
      <c r="K153" t="s">
        <v>809</v>
      </c>
      <c r="L153" t="s">
        <v>829</v>
      </c>
    </row>
    <row r="154" spans="1:12" x14ac:dyDescent="0.35">
      <c r="A154" t="s">
        <v>95</v>
      </c>
      <c r="B154" t="s">
        <v>172</v>
      </c>
      <c r="C154" t="s">
        <v>382</v>
      </c>
      <c r="D154" t="s">
        <v>453</v>
      </c>
      <c r="F154" t="s">
        <v>109</v>
      </c>
      <c r="G154" t="s">
        <v>175</v>
      </c>
      <c r="H154" s="1"/>
      <c r="I154" t="s">
        <v>380</v>
      </c>
      <c r="J154" t="s">
        <v>168</v>
      </c>
      <c r="K154" t="s">
        <v>809</v>
      </c>
      <c r="L154" t="s">
        <v>829</v>
      </c>
    </row>
    <row r="155" spans="1:12" x14ac:dyDescent="0.35">
      <c r="A155" t="s">
        <v>95</v>
      </c>
      <c r="B155" t="s">
        <v>172</v>
      </c>
      <c r="C155" t="s">
        <v>454</v>
      </c>
      <c r="D155" t="s">
        <v>455</v>
      </c>
      <c r="F155" t="s">
        <v>109</v>
      </c>
      <c r="G155" t="s">
        <v>203</v>
      </c>
      <c r="H155" s="1"/>
    </row>
    <row r="156" spans="1:12" x14ac:dyDescent="0.35">
      <c r="A156" t="s">
        <v>95</v>
      </c>
      <c r="B156" t="s">
        <v>172</v>
      </c>
      <c r="C156" t="s">
        <v>456</v>
      </c>
      <c r="D156" t="s">
        <v>457</v>
      </c>
      <c r="E156" t="s">
        <v>109</v>
      </c>
      <c r="F156" t="s">
        <v>109</v>
      </c>
      <c r="G156" t="s">
        <v>33</v>
      </c>
      <c r="H156" s="1"/>
      <c r="K156" t="s">
        <v>804</v>
      </c>
      <c r="L156" t="s">
        <v>822</v>
      </c>
    </row>
    <row r="157" spans="1:12" x14ac:dyDescent="0.35">
      <c r="A157" t="s">
        <v>95</v>
      </c>
      <c r="B157" t="s">
        <v>172</v>
      </c>
      <c r="C157" t="s">
        <v>458</v>
      </c>
      <c r="D157" t="s">
        <v>459</v>
      </c>
      <c r="F157" t="s">
        <v>109</v>
      </c>
      <c r="G157" t="s">
        <v>29</v>
      </c>
      <c r="H157" s="1"/>
      <c r="I157" t="s">
        <v>903</v>
      </c>
      <c r="J157" t="s">
        <v>297</v>
      </c>
      <c r="K157" t="s">
        <v>809</v>
      </c>
      <c r="L157" t="s">
        <v>829</v>
      </c>
    </row>
    <row r="158" spans="1:12" x14ac:dyDescent="0.35">
      <c r="A158" t="s">
        <v>95</v>
      </c>
      <c r="B158" t="s">
        <v>172</v>
      </c>
      <c r="C158" t="s">
        <v>458</v>
      </c>
      <c r="D158" t="s">
        <v>459</v>
      </c>
      <c r="F158" t="s">
        <v>109</v>
      </c>
      <c r="G158" t="s">
        <v>29</v>
      </c>
      <c r="H158" s="1"/>
      <c r="I158" t="s">
        <v>921</v>
      </c>
      <c r="J158" t="s">
        <v>171</v>
      </c>
      <c r="K158" t="s">
        <v>809</v>
      </c>
      <c r="L158" t="s">
        <v>829</v>
      </c>
    </row>
    <row r="159" spans="1:12" x14ac:dyDescent="0.35">
      <c r="A159" t="s">
        <v>95</v>
      </c>
      <c r="B159" t="s">
        <v>172</v>
      </c>
      <c r="C159" t="s">
        <v>460</v>
      </c>
      <c r="D159" t="s">
        <v>461</v>
      </c>
      <c r="F159" t="s">
        <v>109</v>
      </c>
      <c r="G159" t="s">
        <v>29</v>
      </c>
      <c r="H159" s="1"/>
      <c r="K159" t="s">
        <v>806</v>
      </c>
      <c r="L159" t="s">
        <v>823</v>
      </c>
    </row>
    <row r="160" spans="1:12" x14ac:dyDescent="0.35">
      <c r="A160" t="s">
        <v>95</v>
      </c>
      <c r="B160" t="s">
        <v>172</v>
      </c>
      <c r="C160" t="s">
        <v>462</v>
      </c>
      <c r="D160" t="s">
        <v>463</v>
      </c>
      <c r="F160" t="s">
        <v>112</v>
      </c>
      <c r="G160" t="s">
        <v>29</v>
      </c>
      <c r="H160" s="1"/>
      <c r="I160" t="s">
        <v>922</v>
      </c>
      <c r="J160" t="s">
        <v>297</v>
      </c>
      <c r="K160" t="s">
        <v>810</v>
      </c>
      <c r="L160" t="s">
        <v>831</v>
      </c>
    </row>
    <row r="161" spans="1:12" x14ac:dyDescent="0.35">
      <c r="A161" t="s">
        <v>95</v>
      </c>
      <c r="B161" t="s">
        <v>172</v>
      </c>
      <c r="C161" t="s">
        <v>462</v>
      </c>
      <c r="D161" t="s">
        <v>463</v>
      </c>
      <c r="F161" t="s">
        <v>112</v>
      </c>
      <c r="G161" t="s">
        <v>29</v>
      </c>
      <c r="H161" s="1"/>
      <c r="I161" t="s">
        <v>923</v>
      </c>
      <c r="J161" t="s">
        <v>297</v>
      </c>
      <c r="K161" t="s">
        <v>810</v>
      </c>
      <c r="L161" t="s">
        <v>831</v>
      </c>
    </row>
    <row r="162" spans="1:12" x14ac:dyDescent="0.35">
      <c r="A162" t="s">
        <v>95</v>
      </c>
      <c r="B162" t="s">
        <v>172</v>
      </c>
      <c r="C162" t="s">
        <v>462</v>
      </c>
      <c r="D162" t="s">
        <v>463</v>
      </c>
      <c r="F162" t="s">
        <v>112</v>
      </c>
      <c r="G162" t="s">
        <v>29</v>
      </c>
      <c r="H162" s="1"/>
      <c r="I162" t="s">
        <v>407</v>
      </c>
      <c r="J162" t="s">
        <v>171</v>
      </c>
      <c r="K162" t="s">
        <v>810</v>
      </c>
      <c r="L162" t="s">
        <v>831</v>
      </c>
    </row>
    <row r="163" spans="1:12" x14ac:dyDescent="0.35">
      <c r="A163" t="s">
        <v>95</v>
      </c>
      <c r="B163" t="s">
        <v>172</v>
      </c>
      <c r="C163" t="s">
        <v>464</v>
      </c>
      <c r="D163" t="s">
        <v>465</v>
      </c>
      <c r="F163" t="s">
        <v>112</v>
      </c>
      <c r="G163" t="s">
        <v>29</v>
      </c>
      <c r="H163" s="1"/>
    </row>
    <row r="164" spans="1:12" x14ac:dyDescent="0.35">
      <c r="A164" t="s">
        <v>95</v>
      </c>
      <c r="B164" t="s">
        <v>172</v>
      </c>
      <c r="C164" t="s">
        <v>466</v>
      </c>
      <c r="D164" t="s">
        <v>467</v>
      </c>
      <c r="F164" t="s">
        <v>112</v>
      </c>
      <c r="G164" t="s">
        <v>29</v>
      </c>
      <c r="H164" s="1"/>
    </row>
    <row r="165" spans="1:12" x14ac:dyDescent="0.35">
      <c r="A165" t="s">
        <v>95</v>
      </c>
      <c r="B165" t="s">
        <v>172</v>
      </c>
      <c r="C165" t="s">
        <v>468</v>
      </c>
      <c r="D165" t="s">
        <v>469</v>
      </c>
      <c r="F165" t="s">
        <v>112</v>
      </c>
      <c r="G165" t="s">
        <v>29</v>
      </c>
      <c r="H165" s="1"/>
      <c r="I165" t="s">
        <v>470</v>
      </c>
      <c r="J165" t="s">
        <v>297</v>
      </c>
    </row>
    <row r="166" spans="1:12" x14ac:dyDescent="0.35">
      <c r="A166" t="s">
        <v>95</v>
      </c>
      <c r="B166" t="s">
        <v>172</v>
      </c>
      <c r="C166" t="s">
        <v>471</v>
      </c>
      <c r="D166" t="s">
        <v>472</v>
      </c>
      <c r="F166" t="s">
        <v>473</v>
      </c>
      <c r="G166" t="s">
        <v>243</v>
      </c>
      <c r="H166" s="1"/>
      <c r="I166" t="s">
        <v>474</v>
      </c>
      <c r="J166" t="s">
        <v>331</v>
      </c>
    </row>
    <row r="167" spans="1:12" x14ac:dyDescent="0.35">
      <c r="A167" t="s">
        <v>95</v>
      </c>
      <c r="B167" t="s">
        <v>172</v>
      </c>
      <c r="C167" t="s">
        <v>475</v>
      </c>
      <c r="D167" t="s">
        <v>476</v>
      </c>
      <c r="F167" t="s">
        <v>109</v>
      </c>
      <c r="G167" t="s">
        <v>29</v>
      </c>
      <c r="H167" s="1"/>
    </row>
    <row r="168" spans="1:12" x14ac:dyDescent="0.35">
      <c r="A168" t="s">
        <v>95</v>
      </c>
      <c r="B168" t="s">
        <v>172</v>
      </c>
      <c r="C168" t="s">
        <v>477</v>
      </c>
      <c r="D168" t="s">
        <v>478</v>
      </c>
      <c r="F168" t="s">
        <v>473</v>
      </c>
      <c r="G168" t="s">
        <v>203</v>
      </c>
      <c r="H168" s="1"/>
    </row>
    <row r="169" spans="1:12" x14ac:dyDescent="0.35">
      <c r="A169" t="s">
        <v>95</v>
      </c>
      <c r="B169" t="s">
        <v>172</v>
      </c>
      <c r="C169" t="s">
        <v>479</v>
      </c>
      <c r="D169" t="s">
        <v>480</v>
      </c>
      <c r="F169" t="s">
        <v>112</v>
      </c>
      <c r="G169" t="s">
        <v>243</v>
      </c>
      <c r="H169" s="1"/>
      <c r="I169" t="s">
        <v>481</v>
      </c>
      <c r="J169" t="s">
        <v>443</v>
      </c>
      <c r="K169" t="s">
        <v>810</v>
      </c>
      <c r="L169" t="s">
        <v>831</v>
      </c>
    </row>
    <row r="170" spans="1:12" x14ac:dyDescent="0.35">
      <c r="A170" t="s">
        <v>95</v>
      </c>
      <c r="B170" t="s">
        <v>172</v>
      </c>
      <c r="C170" t="s">
        <v>470</v>
      </c>
      <c r="D170" t="s">
        <v>482</v>
      </c>
      <c r="F170" t="s">
        <v>112</v>
      </c>
      <c r="G170" t="s">
        <v>243</v>
      </c>
      <c r="H170" s="1"/>
      <c r="I170" t="s">
        <v>468</v>
      </c>
      <c r="J170" t="s">
        <v>171</v>
      </c>
    </row>
    <row r="171" spans="1:12" x14ac:dyDescent="0.35">
      <c r="A171" t="s">
        <v>95</v>
      </c>
      <c r="B171" t="s">
        <v>172</v>
      </c>
      <c r="C171" t="s">
        <v>483</v>
      </c>
      <c r="D171" t="s">
        <v>484</v>
      </c>
      <c r="E171" t="s">
        <v>385</v>
      </c>
      <c r="F171" t="s">
        <v>112</v>
      </c>
      <c r="G171" t="s">
        <v>52</v>
      </c>
      <c r="H171" s="1"/>
      <c r="I171" t="s">
        <v>485</v>
      </c>
      <c r="J171" t="s">
        <v>170</v>
      </c>
      <c r="K171" t="s">
        <v>803</v>
      </c>
      <c r="L171" t="s">
        <v>821</v>
      </c>
    </row>
    <row r="172" spans="1:12" x14ac:dyDescent="0.35">
      <c r="A172" t="s">
        <v>95</v>
      </c>
      <c r="B172" t="s">
        <v>172</v>
      </c>
      <c r="C172" t="s">
        <v>486</v>
      </c>
      <c r="D172" t="s">
        <v>487</v>
      </c>
      <c r="E172" t="s">
        <v>391</v>
      </c>
      <c r="F172" t="s">
        <v>112</v>
      </c>
      <c r="G172" t="s">
        <v>201</v>
      </c>
      <c r="H172" s="1"/>
      <c r="I172" t="s">
        <v>407</v>
      </c>
      <c r="J172" t="s">
        <v>171</v>
      </c>
      <c r="K172" t="s">
        <v>807</v>
      </c>
      <c r="L172" t="s">
        <v>821</v>
      </c>
    </row>
    <row r="173" spans="1:12" x14ac:dyDescent="0.35">
      <c r="A173" t="s">
        <v>488</v>
      </c>
      <c r="B173" t="s">
        <v>172</v>
      </c>
      <c r="C173" t="s">
        <v>489</v>
      </c>
      <c r="D173" t="s">
        <v>490</v>
      </c>
      <c r="F173" t="s">
        <v>491</v>
      </c>
      <c r="G173" t="s">
        <v>243</v>
      </c>
      <c r="H173" s="1">
        <v>46203</v>
      </c>
    </row>
    <row r="174" spans="1:12" x14ac:dyDescent="0.35">
      <c r="A174" t="s">
        <v>113</v>
      </c>
      <c r="B174" t="s">
        <v>172</v>
      </c>
      <c r="C174" t="s">
        <v>492</v>
      </c>
      <c r="D174" t="s">
        <v>493</v>
      </c>
      <c r="E174" t="s">
        <v>494</v>
      </c>
      <c r="F174" t="s">
        <v>116</v>
      </c>
      <c r="G174" t="s">
        <v>243</v>
      </c>
      <c r="H174" s="1"/>
      <c r="K174" t="s">
        <v>811</v>
      </c>
      <c r="L174" t="s">
        <v>823</v>
      </c>
    </row>
    <row r="175" spans="1:12" x14ac:dyDescent="0.35">
      <c r="A175" t="s">
        <v>113</v>
      </c>
      <c r="B175" t="s">
        <v>172</v>
      </c>
      <c r="C175" t="s">
        <v>495</v>
      </c>
      <c r="D175" t="s">
        <v>496</v>
      </c>
      <c r="E175" t="s">
        <v>497</v>
      </c>
      <c r="F175" t="s">
        <v>116</v>
      </c>
      <c r="G175" t="s">
        <v>203</v>
      </c>
      <c r="H175" s="1"/>
      <c r="I175" t="s">
        <v>498</v>
      </c>
      <c r="J175" t="s">
        <v>443</v>
      </c>
      <c r="K175" t="s">
        <v>811</v>
      </c>
      <c r="L175" t="s">
        <v>823</v>
      </c>
    </row>
    <row r="176" spans="1:12" x14ac:dyDescent="0.35">
      <c r="A176" t="s">
        <v>113</v>
      </c>
      <c r="B176" t="s">
        <v>172</v>
      </c>
      <c r="C176" t="s">
        <v>499</v>
      </c>
      <c r="D176" t="s">
        <v>500</v>
      </c>
      <c r="E176" t="s">
        <v>494</v>
      </c>
      <c r="F176" t="s">
        <v>116</v>
      </c>
      <c r="G176" t="s">
        <v>52</v>
      </c>
      <c r="H176" s="1"/>
      <c r="I176" t="s">
        <v>924</v>
      </c>
      <c r="J176" t="s">
        <v>170</v>
      </c>
      <c r="K176" t="s">
        <v>812</v>
      </c>
      <c r="L176" t="s">
        <v>821</v>
      </c>
    </row>
    <row r="177" spans="1:12" x14ac:dyDescent="0.35">
      <c r="A177" t="s">
        <v>113</v>
      </c>
      <c r="B177" t="s">
        <v>172</v>
      </c>
      <c r="C177" t="s">
        <v>501</v>
      </c>
      <c r="D177" t="s">
        <v>502</v>
      </c>
      <c r="E177" t="s">
        <v>116</v>
      </c>
      <c r="F177" t="s">
        <v>116</v>
      </c>
      <c r="G177" t="s">
        <v>29</v>
      </c>
      <c r="H177" s="1"/>
      <c r="K177" t="s">
        <v>813</v>
      </c>
    </row>
    <row r="178" spans="1:12" x14ac:dyDescent="0.35">
      <c r="A178" t="s">
        <v>113</v>
      </c>
      <c r="B178" t="s">
        <v>172</v>
      </c>
      <c r="C178" t="s">
        <v>503</v>
      </c>
      <c r="D178" t="s">
        <v>504</v>
      </c>
      <c r="E178" t="s">
        <v>116</v>
      </c>
      <c r="F178" t="s">
        <v>116</v>
      </c>
      <c r="G178" t="s">
        <v>221</v>
      </c>
      <c r="H178" s="1"/>
      <c r="I178" t="s">
        <v>505</v>
      </c>
      <c r="J178" t="s">
        <v>422</v>
      </c>
      <c r="K178" t="s">
        <v>814</v>
      </c>
      <c r="L178" t="s">
        <v>822</v>
      </c>
    </row>
    <row r="179" spans="1:12" x14ac:dyDescent="0.35">
      <c r="A179" t="s">
        <v>113</v>
      </c>
      <c r="B179" t="s">
        <v>172</v>
      </c>
      <c r="C179" t="s">
        <v>506</v>
      </c>
      <c r="D179" t="s">
        <v>507</v>
      </c>
      <c r="F179" t="s">
        <v>116</v>
      </c>
      <c r="G179" t="s">
        <v>203</v>
      </c>
      <c r="H179" s="1"/>
      <c r="K179" t="s">
        <v>813</v>
      </c>
    </row>
    <row r="180" spans="1:12" x14ac:dyDescent="0.35">
      <c r="A180" t="s">
        <v>113</v>
      </c>
      <c r="B180" t="s">
        <v>172</v>
      </c>
      <c r="C180" t="s">
        <v>508</v>
      </c>
      <c r="D180" t="s">
        <v>509</v>
      </c>
      <c r="E180" t="s">
        <v>510</v>
      </c>
      <c r="F180" t="s">
        <v>140</v>
      </c>
      <c r="G180" t="s">
        <v>29</v>
      </c>
      <c r="H180" s="1"/>
      <c r="I180" t="s">
        <v>511</v>
      </c>
      <c r="J180" t="s">
        <v>168</v>
      </c>
      <c r="K180" t="s">
        <v>811</v>
      </c>
      <c r="L180" t="s">
        <v>823</v>
      </c>
    </row>
    <row r="181" spans="1:12" x14ac:dyDescent="0.35">
      <c r="A181" t="s">
        <v>113</v>
      </c>
      <c r="B181" t="s">
        <v>172</v>
      </c>
      <c r="C181" t="s">
        <v>512</v>
      </c>
      <c r="D181" t="s">
        <v>513</v>
      </c>
      <c r="E181" t="s">
        <v>514</v>
      </c>
      <c r="F181" t="s">
        <v>116</v>
      </c>
      <c r="G181" t="s">
        <v>214</v>
      </c>
      <c r="H181" s="1"/>
      <c r="I181" t="s">
        <v>515</v>
      </c>
      <c r="J181" t="s">
        <v>171</v>
      </c>
      <c r="K181" t="s">
        <v>815</v>
      </c>
      <c r="L181" t="s">
        <v>821</v>
      </c>
    </row>
    <row r="182" spans="1:12" x14ac:dyDescent="0.35">
      <c r="A182" t="s">
        <v>113</v>
      </c>
      <c r="B182" t="s">
        <v>172</v>
      </c>
      <c r="C182" t="s">
        <v>516</v>
      </c>
      <c r="D182" t="s">
        <v>517</v>
      </c>
      <c r="E182" t="s">
        <v>116</v>
      </c>
      <c r="F182" t="s">
        <v>116</v>
      </c>
      <c r="G182" t="s">
        <v>203</v>
      </c>
      <c r="H182" s="1"/>
    </row>
    <row r="183" spans="1:12" x14ac:dyDescent="0.35">
      <c r="A183" t="s">
        <v>113</v>
      </c>
      <c r="B183" t="s">
        <v>172</v>
      </c>
      <c r="C183" t="s">
        <v>518</v>
      </c>
      <c r="D183" t="s">
        <v>519</v>
      </c>
      <c r="E183" t="s">
        <v>116</v>
      </c>
      <c r="F183" t="s">
        <v>116</v>
      </c>
      <c r="G183" t="s">
        <v>203</v>
      </c>
      <c r="H183" s="1"/>
      <c r="K183" t="s">
        <v>813</v>
      </c>
    </row>
    <row r="184" spans="1:12" x14ac:dyDescent="0.35">
      <c r="A184" t="s">
        <v>113</v>
      </c>
      <c r="B184" t="s">
        <v>172</v>
      </c>
      <c r="C184" t="s">
        <v>520</v>
      </c>
      <c r="D184" t="s">
        <v>521</v>
      </c>
      <c r="E184" t="s">
        <v>116</v>
      </c>
      <c r="F184" t="s">
        <v>116</v>
      </c>
      <c r="G184" t="s">
        <v>203</v>
      </c>
      <c r="H184" s="1"/>
      <c r="I184" t="s">
        <v>522</v>
      </c>
      <c r="J184" t="s">
        <v>443</v>
      </c>
      <c r="K184" t="s">
        <v>813</v>
      </c>
    </row>
    <row r="185" spans="1:12" x14ac:dyDescent="0.35">
      <c r="A185" t="s">
        <v>113</v>
      </c>
      <c r="B185" t="s">
        <v>172</v>
      </c>
      <c r="C185" t="s">
        <v>523</v>
      </c>
      <c r="D185" t="s">
        <v>524</v>
      </c>
      <c r="E185" t="s">
        <v>116</v>
      </c>
      <c r="F185" t="s">
        <v>116</v>
      </c>
      <c r="G185" t="s">
        <v>203</v>
      </c>
      <c r="H185" s="1"/>
    </row>
    <row r="186" spans="1:12" x14ac:dyDescent="0.35">
      <c r="A186" t="s">
        <v>113</v>
      </c>
      <c r="B186" t="s">
        <v>172</v>
      </c>
      <c r="C186" t="s">
        <v>525</v>
      </c>
      <c r="D186" t="s">
        <v>526</v>
      </c>
      <c r="E186" t="s">
        <v>116</v>
      </c>
      <c r="F186" t="s">
        <v>116</v>
      </c>
      <c r="G186" t="s">
        <v>221</v>
      </c>
      <c r="H186" s="1"/>
      <c r="I186" t="s">
        <v>527</v>
      </c>
      <c r="J186" t="s">
        <v>422</v>
      </c>
      <c r="K186" t="s">
        <v>814</v>
      </c>
      <c r="L186" t="s">
        <v>822</v>
      </c>
    </row>
    <row r="187" spans="1:12" x14ac:dyDescent="0.35">
      <c r="A187" t="s">
        <v>113</v>
      </c>
      <c r="B187" t="s">
        <v>172</v>
      </c>
      <c r="C187" t="s">
        <v>528</v>
      </c>
      <c r="D187" t="s">
        <v>529</v>
      </c>
      <c r="F187" t="s">
        <v>116</v>
      </c>
      <c r="G187" t="s">
        <v>203</v>
      </c>
      <c r="H187" s="1"/>
      <c r="K187" t="s">
        <v>813</v>
      </c>
    </row>
    <row r="188" spans="1:12" x14ac:dyDescent="0.35">
      <c r="A188" t="s">
        <v>113</v>
      </c>
      <c r="B188" t="s">
        <v>172</v>
      </c>
      <c r="C188" t="s">
        <v>530</v>
      </c>
      <c r="D188" t="s">
        <v>531</v>
      </c>
      <c r="E188" t="s">
        <v>116</v>
      </c>
      <c r="F188" t="s">
        <v>116</v>
      </c>
      <c r="G188" t="s">
        <v>203</v>
      </c>
      <c r="H188" s="1"/>
      <c r="K188" t="s">
        <v>813</v>
      </c>
    </row>
    <row r="189" spans="1:12" x14ac:dyDescent="0.35">
      <c r="A189" t="s">
        <v>113</v>
      </c>
      <c r="B189" t="s">
        <v>172</v>
      </c>
      <c r="C189" t="s">
        <v>532</v>
      </c>
      <c r="D189" t="s">
        <v>533</v>
      </c>
      <c r="F189" t="s">
        <v>116</v>
      </c>
      <c r="G189" t="s">
        <v>203</v>
      </c>
      <c r="H189" s="1"/>
      <c r="K189" t="s">
        <v>813</v>
      </c>
    </row>
    <row r="190" spans="1:12" x14ac:dyDescent="0.35">
      <c r="A190" t="s">
        <v>113</v>
      </c>
      <c r="B190" t="s">
        <v>172</v>
      </c>
      <c r="C190" t="s">
        <v>534</v>
      </c>
      <c r="D190" t="s">
        <v>535</v>
      </c>
      <c r="E190" t="s">
        <v>116</v>
      </c>
      <c r="F190" t="s">
        <v>536</v>
      </c>
      <c r="G190" t="s">
        <v>278</v>
      </c>
      <c r="H190" s="1"/>
      <c r="I190" t="s">
        <v>537</v>
      </c>
      <c r="J190" t="s">
        <v>422</v>
      </c>
      <c r="K190" t="s">
        <v>815</v>
      </c>
      <c r="L190" t="s">
        <v>821</v>
      </c>
    </row>
    <row r="191" spans="1:12" x14ac:dyDescent="0.35">
      <c r="A191" t="s">
        <v>113</v>
      </c>
      <c r="B191" t="s">
        <v>172</v>
      </c>
      <c r="C191" t="s">
        <v>538</v>
      </c>
      <c r="D191" t="s">
        <v>539</v>
      </c>
      <c r="E191" t="s">
        <v>116</v>
      </c>
      <c r="F191" t="s">
        <v>116</v>
      </c>
      <c r="G191" t="s">
        <v>203</v>
      </c>
      <c r="H191" s="1"/>
      <c r="I191" t="s">
        <v>540</v>
      </c>
      <c r="J191" t="s">
        <v>443</v>
      </c>
    </row>
    <row r="192" spans="1:12" x14ac:dyDescent="0.35">
      <c r="A192" t="s">
        <v>113</v>
      </c>
      <c r="B192" t="s">
        <v>172</v>
      </c>
      <c r="C192" t="s">
        <v>541</v>
      </c>
      <c r="D192" t="s">
        <v>542</v>
      </c>
      <c r="E192" t="s">
        <v>116</v>
      </c>
      <c r="F192" t="s">
        <v>116</v>
      </c>
      <c r="G192" t="s">
        <v>203</v>
      </c>
      <c r="H192" s="1"/>
      <c r="I192" t="s">
        <v>540</v>
      </c>
      <c r="J192" t="s">
        <v>443</v>
      </c>
    </row>
    <row r="193" spans="1:12" x14ac:dyDescent="0.35">
      <c r="A193" t="s">
        <v>113</v>
      </c>
      <c r="B193" t="s">
        <v>172</v>
      </c>
      <c r="C193" t="s">
        <v>543</v>
      </c>
      <c r="D193" t="s">
        <v>544</v>
      </c>
      <c r="E193" t="s">
        <v>116</v>
      </c>
      <c r="F193" t="s">
        <v>116</v>
      </c>
      <c r="G193" t="s">
        <v>203</v>
      </c>
      <c r="H193" s="1"/>
      <c r="I193" t="s">
        <v>540</v>
      </c>
      <c r="J193" t="s">
        <v>443</v>
      </c>
    </row>
    <row r="194" spans="1:12" x14ac:dyDescent="0.35">
      <c r="A194" t="s">
        <v>113</v>
      </c>
      <c r="B194" t="s">
        <v>172</v>
      </c>
      <c r="C194" t="s">
        <v>543</v>
      </c>
      <c r="D194" t="s">
        <v>544</v>
      </c>
      <c r="E194" t="s">
        <v>116</v>
      </c>
      <c r="F194" t="s">
        <v>116</v>
      </c>
      <c r="G194" t="s">
        <v>203</v>
      </c>
      <c r="H194" s="1"/>
      <c r="I194" t="s">
        <v>925</v>
      </c>
      <c r="J194" t="s">
        <v>168</v>
      </c>
    </row>
    <row r="195" spans="1:12" x14ac:dyDescent="0.35">
      <c r="A195" t="s">
        <v>113</v>
      </c>
      <c r="B195" t="s">
        <v>172</v>
      </c>
      <c r="C195" t="s">
        <v>545</v>
      </c>
      <c r="D195" t="s">
        <v>546</v>
      </c>
      <c r="E195" t="s">
        <v>116</v>
      </c>
      <c r="F195" t="s">
        <v>116</v>
      </c>
      <c r="G195" t="s">
        <v>203</v>
      </c>
      <c r="H195" s="1"/>
      <c r="I195" t="s">
        <v>540</v>
      </c>
      <c r="J195" t="s">
        <v>443</v>
      </c>
    </row>
    <row r="196" spans="1:12" x14ac:dyDescent="0.35">
      <c r="A196" t="s">
        <v>113</v>
      </c>
      <c r="B196" t="s">
        <v>172</v>
      </c>
      <c r="C196" t="s">
        <v>547</v>
      </c>
      <c r="D196" t="s">
        <v>548</v>
      </c>
      <c r="E196" t="s">
        <v>116</v>
      </c>
      <c r="F196" t="s">
        <v>536</v>
      </c>
      <c r="G196" t="s">
        <v>175</v>
      </c>
      <c r="H196" s="1"/>
    </row>
    <row r="197" spans="1:12" x14ac:dyDescent="0.35">
      <c r="A197" t="s">
        <v>113</v>
      </c>
      <c r="B197" t="s">
        <v>172</v>
      </c>
      <c r="C197" t="s">
        <v>549</v>
      </c>
      <c r="D197" t="s">
        <v>550</v>
      </c>
      <c r="E197" t="s">
        <v>116</v>
      </c>
      <c r="F197" t="s">
        <v>536</v>
      </c>
      <c r="G197" t="s">
        <v>175</v>
      </c>
      <c r="H197" s="1"/>
    </row>
    <row r="198" spans="1:12" x14ac:dyDescent="0.35">
      <c r="A198" t="s">
        <v>113</v>
      </c>
      <c r="B198" t="s">
        <v>172</v>
      </c>
      <c r="C198" t="s">
        <v>551</v>
      </c>
      <c r="D198" t="s">
        <v>552</v>
      </c>
      <c r="E198" t="s">
        <v>116</v>
      </c>
      <c r="F198" t="s">
        <v>536</v>
      </c>
      <c r="G198" t="s">
        <v>175</v>
      </c>
      <c r="H198" s="1"/>
    </row>
    <row r="199" spans="1:12" x14ac:dyDescent="0.35">
      <c r="A199" t="s">
        <v>113</v>
      </c>
      <c r="B199" t="s">
        <v>172</v>
      </c>
      <c r="C199" t="s">
        <v>553</v>
      </c>
      <c r="D199" t="s">
        <v>554</v>
      </c>
      <c r="E199" t="s">
        <v>494</v>
      </c>
      <c r="F199" t="s">
        <v>116</v>
      </c>
      <c r="G199" t="s">
        <v>175</v>
      </c>
      <c r="H199" s="1"/>
      <c r="K199" t="s">
        <v>812</v>
      </c>
      <c r="L199" t="s">
        <v>821</v>
      </c>
    </row>
    <row r="200" spans="1:12" x14ac:dyDescent="0.35">
      <c r="A200" t="s">
        <v>113</v>
      </c>
      <c r="B200" t="s">
        <v>172</v>
      </c>
      <c r="C200" t="s">
        <v>555</v>
      </c>
      <c r="D200" t="s">
        <v>556</v>
      </c>
      <c r="E200" t="s">
        <v>116</v>
      </c>
      <c r="F200" t="s">
        <v>116</v>
      </c>
      <c r="G200" t="s">
        <v>243</v>
      </c>
      <c r="H200" s="1"/>
    </row>
    <row r="201" spans="1:12" x14ac:dyDescent="0.35">
      <c r="A201" t="s">
        <v>113</v>
      </c>
      <c r="B201" t="s">
        <v>172</v>
      </c>
      <c r="C201" t="s">
        <v>557</v>
      </c>
      <c r="D201" t="s">
        <v>558</v>
      </c>
      <c r="E201" t="s">
        <v>116</v>
      </c>
      <c r="F201" t="s">
        <v>536</v>
      </c>
      <c r="G201" t="s">
        <v>175</v>
      </c>
      <c r="H201" s="1"/>
    </row>
    <row r="202" spans="1:12" x14ac:dyDescent="0.35">
      <c r="A202" t="s">
        <v>113</v>
      </c>
      <c r="B202" t="s">
        <v>172</v>
      </c>
      <c r="C202" t="s">
        <v>559</v>
      </c>
      <c r="D202" t="s">
        <v>560</v>
      </c>
      <c r="E202" t="s">
        <v>137</v>
      </c>
      <c r="F202" t="s">
        <v>137</v>
      </c>
      <c r="G202" t="s">
        <v>203</v>
      </c>
      <c r="H202" s="1"/>
    </row>
    <row r="203" spans="1:12" x14ac:dyDescent="0.35">
      <c r="A203" t="s">
        <v>113</v>
      </c>
      <c r="B203" t="s">
        <v>172</v>
      </c>
      <c r="C203" t="s">
        <v>561</v>
      </c>
      <c r="D203" t="s">
        <v>562</v>
      </c>
      <c r="E203" t="s">
        <v>137</v>
      </c>
      <c r="F203" t="s">
        <v>137</v>
      </c>
      <c r="G203" t="s">
        <v>203</v>
      </c>
      <c r="H203" s="1"/>
    </row>
    <row r="204" spans="1:12" x14ac:dyDescent="0.35">
      <c r="A204" t="s">
        <v>113</v>
      </c>
      <c r="B204" t="s">
        <v>172</v>
      </c>
      <c r="C204" t="s">
        <v>563</v>
      </c>
      <c r="D204" t="s">
        <v>564</v>
      </c>
      <c r="E204" t="s">
        <v>137</v>
      </c>
      <c r="F204" t="s">
        <v>137</v>
      </c>
      <c r="G204" t="s">
        <v>203</v>
      </c>
      <c r="H204" s="1"/>
    </row>
    <row r="205" spans="1:12" x14ac:dyDescent="0.35">
      <c r="A205" t="s">
        <v>113</v>
      </c>
      <c r="B205" t="s">
        <v>172</v>
      </c>
      <c r="C205" t="s">
        <v>565</v>
      </c>
      <c r="D205" t="s">
        <v>566</v>
      </c>
      <c r="E205" t="s">
        <v>137</v>
      </c>
      <c r="F205" t="s">
        <v>137</v>
      </c>
      <c r="G205" t="s">
        <v>203</v>
      </c>
      <c r="H205" s="1"/>
    </row>
    <row r="206" spans="1:12" x14ac:dyDescent="0.35">
      <c r="A206" t="s">
        <v>113</v>
      </c>
      <c r="B206" t="s">
        <v>172</v>
      </c>
      <c r="C206" t="s">
        <v>567</v>
      </c>
      <c r="D206" t="s">
        <v>568</v>
      </c>
      <c r="E206" t="s">
        <v>137</v>
      </c>
      <c r="F206" t="s">
        <v>137</v>
      </c>
      <c r="G206" t="s">
        <v>203</v>
      </c>
      <c r="H206" s="1"/>
    </row>
    <row r="207" spans="1:12" x14ac:dyDescent="0.35">
      <c r="A207" t="s">
        <v>113</v>
      </c>
      <c r="B207" t="s">
        <v>172</v>
      </c>
      <c r="C207" t="s">
        <v>569</v>
      </c>
      <c r="D207" t="s">
        <v>570</v>
      </c>
      <c r="E207" t="s">
        <v>137</v>
      </c>
      <c r="F207" t="s">
        <v>137</v>
      </c>
      <c r="G207" t="s">
        <v>203</v>
      </c>
      <c r="H207" s="1"/>
    </row>
    <row r="208" spans="1:12" x14ac:dyDescent="0.35">
      <c r="A208" t="s">
        <v>113</v>
      </c>
      <c r="B208" t="s">
        <v>172</v>
      </c>
      <c r="C208" t="s">
        <v>571</v>
      </c>
      <c r="D208" t="s">
        <v>572</v>
      </c>
      <c r="E208" t="s">
        <v>137</v>
      </c>
      <c r="F208" t="s">
        <v>137</v>
      </c>
      <c r="G208" t="s">
        <v>203</v>
      </c>
      <c r="H208" s="1"/>
    </row>
    <row r="209" spans="1:12" x14ac:dyDescent="0.35">
      <c r="A209" t="s">
        <v>113</v>
      </c>
      <c r="B209" t="s">
        <v>172</v>
      </c>
      <c r="C209" t="s">
        <v>573</v>
      </c>
      <c r="D209" t="s">
        <v>574</v>
      </c>
      <c r="E209" t="s">
        <v>137</v>
      </c>
      <c r="F209" t="s">
        <v>137</v>
      </c>
      <c r="G209" t="s">
        <v>203</v>
      </c>
      <c r="H209" s="1"/>
    </row>
    <row r="210" spans="1:12" x14ac:dyDescent="0.35">
      <c r="A210" t="s">
        <v>113</v>
      </c>
      <c r="B210" t="s">
        <v>172</v>
      </c>
      <c r="C210" t="s">
        <v>575</v>
      </c>
      <c r="D210" t="s">
        <v>576</v>
      </c>
      <c r="E210" t="s">
        <v>137</v>
      </c>
      <c r="F210" t="s">
        <v>137</v>
      </c>
      <c r="G210" t="s">
        <v>203</v>
      </c>
      <c r="H210" s="1"/>
    </row>
    <row r="211" spans="1:12" x14ac:dyDescent="0.35">
      <c r="A211" t="s">
        <v>113</v>
      </c>
      <c r="B211" t="s">
        <v>172</v>
      </c>
      <c r="C211" t="s">
        <v>577</v>
      </c>
      <c r="D211" t="s">
        <v>578</v>
      </c>
      <c r="E211" t="s">
        <v>137</v>
      </c>
      <c r="F211" t="s">
        <v>137</v>
      </c>
      <c r="G211" t="s">
        <v>203</v>
      </c>
      <c r="H211" s="1"/>
    </row>
    <row r="212" spans="1:12" x14ac:dyDescent="0.35">
      <c r="A212" t="s">
        <v>113</v>
      </c>
      <c r="B212" t="s">
        <v>172</v>
      </c>
      <c r="C212" t="s">
        <v>579</v>
      </c>
      <c r="D212" t="s">
        <v>580</v>
      </c>
      <c r="E212" t="s">
        <v>116</v>
      </c>
      <c r="F212" t="s">
        <v>137</v>
      </c>
      <c r="G212" t="s">
        <v>243</v>
      </c>
      <c r="H212" s="1"/>
    </row>
    <row r="213" spans="1:12" x14ac:dyDescent="0.35">
      <c r="A213" t="s">
        <v>113</v>
      </c>
      <c r="B213" t="s">
        <v>172</v>
      </c>
      <c r="C213" t="s">
        <v>581</v>
      </c>
      <c r="D213" t="s">
        <v>582</v>
      </c>
      <c r="E213" t="s">
        <v>137</v>
      </c>
      <c r="F213" t="s">
        <v>137</v>
      </c>
      <c r="G213" t="s">
        <v>243</v>
      </c>
      <c r="H213" s="1"/>
    </row>
    <row r="214" spans="1:12" x14ac:dyDescent="0.35">
      <c r="A214" t="s">
        <v>113</v>
      </c>
      <c r="B214" t="s">
        <v>172</v>
      </c>
      <c r="C214" t="s">
        <v>583</v>
      </c>
      <c r="D214" t="s">
        <v>584</v>
      </c>
      <c r="E214" t="s">
        <v>137</v>
      </c>
      <c r="F214" t="s">
        <v>137</v>
      </c>
      <c r="G214" t="s">
        <v>243</v>
      </c>
      <c r="H214" s="1"/>
    </row>
    <row r="215" spans="1:12" x14ac:dyDescent="0.35">
      <c r="A215" t="s">
        <v>113</v>
      </c>
      <c r="B215" t="s">
        <v>172</v>
      </c>
      <c r="C215" t="s">
        <v>585</v>
      </c>
      <c r="D215" t="s">
        <v>586</v>
      </c>
      <c r="E215" t="s">
        <v>137</v>
      </c>
      <c r="F215" t="s">
        <v>137</v>
      </c>
      <c r="G215" t="s">
        <v>243</v>
      </c>
      <c r="H215" s="1"/>
    </row>
    <row r="216" spans="1:12" x14ac:dyDescent="0.35">
      <c r="A216" t="s">
        <v>113</v>
      </c>
      <c r="B216" t="s">
        <v>172</v>
      </c>
      <c r="C216" t="s">
        <v>587</v>
      </c>
      <c r="D216" t="s">
        <v>588</v>
      </c>
      <c r="E216" t="s">
        <v>137</v>
      </c>
      <c r="F216" t="s">
        <v>137</v>
      </c>
      <c r="G216" t="s">
        <v>243</v>
      </c>
      <c r="H216" s="1"/>
    </row>
    <row r="217" spans="1:12" x14ac:dyDescent="0.35">
      <c r="A217" t="s">
        <v>113</v>
      </c>
      <c r="B217" t="s">
        <v>172</v>
      </c>
      <c r="C217" t="s">
        <v>589</v>
      </c>
      <c r="D217" t="s">
        <v>590</v>
      </c>
      <c r="E217" t="s">
        <v>514</v>
      </c>
      <c r="F217" t="s">
        <v>591</v>
      </c>
      <c r="G217" t="s">
        <v>221</v>
      </c>
      <c r="H217" s="1"/>
      <c r="K217" t="s">
        <v>814</v>
      </c>
      <c r="L217" t="s">
        <v>822</v>
      </c>
    </row>
    <row r="218" spans="1:12" x14ac:dyDescent="0.35">
      <c r="A218" t="s">
        <v>113</v>
      </c>
      <c r="B218" t="s">
        <v>172</v>
      </c>
      <c r="C218" t="s">
        <v>592</v>
      </c>
      <c r="D218" t="s">
        <v>593</v>
      </c>
      <c r="E218" t="s">
        <v>494</v>
      </c>
      <c r="F218" t="s">
        <v>116</v>
      </c>
      <c r="G218" t="s">
        <v>29</v>
      </c>
      <c r="H218" s="1"/>
      <c r="K218" t="s">
        <v>811</v>
      </c>
      <c r="L218" t="s">
        <v>823</v>
      </c>
    </row>
    <row r="219" spans="1:12" x14ac:dyDescent="0.35">
      <c r="A219" t="s">
        <v>113</v>
      </c>
      <c r="B219" t="s">
        <v>172</v>
      </c>
      <c r="C219" t="s">
        <v>594</v>
      </c>
      <c r="D219" t="s">
        <v>595</v>
      </c>
      <c r="E219" t="s">
        <v>514</v>
      </c>
      <c r="F219" t="s">
        <v>140</v>
      </c>
      <c r="G219" t="s">
        <v>29</v>
      </c>
      <c r="H219" s="1"/>
      <c r="I219" t="s">
        <v>596</v>
      </c>
      <c r="J219" t="s">
        <v>422</v>
      </c>
      <c r="K219" t="s">
        <v>811</v>
      </c>
      <c r="L219" t="s">
        <v>823</v>
      </c>
    </row>
    <row r="220" spans="1:12" x14ac:dyDescent="0.35">
      <c r="A220" t="s">
        <v>113</v>
      </c>
      <c r="B220" t="s">
        <v>172</v>
      </c>
      <c r="C220" t="s">
        <v>597</v>
      </c>
      <c r="D220" t="s">
        <v>598</v>
      </c>
      <c r="E220" t="s">
        <v>116</v>
      </c>
      <c r="F220" t="s">
        <v>116</v>
      </c>
      <c r="G220" t="s">
        <v>175</v>
      </c>
      <c r="H220" s="1"/>
    </row>
    <row r="221" spans="1:12" x14ac:dyDescent="0.35">
      <c r="A221" t="s">
        <v>113</v>
      </c>
      <c r="B221" t="s">
        <v>172</v>
      </c>
      <c r="C221" t="s">
        <v>540</v>
      </c>
      <c r="D221" t="s">
        <v>599</v>
      </c>
      <c r="F221" t="s">
        <v>116</v>
      </c>
      <c r="G221" t="s">
        <v>175</v>
      </c>
      <c r="H221" s="1"/>
      <c r="I221" t="s">
        <v>545</v>
      </c>
      <c r="J221" t="s">
        <v>443</v>
      </c>
    </row>
    <row r="222" spans="1:12" x14ac:dyDescent="0.35">
      <c r="A222" t="s">
        <v>113</v>
      </c>
      <c r="B222" t="s">
        <v>172</v>
      </c>
      <c r="C222" t="s">
        <v>540</v>
      </c>
      <c r="D222" t="s">
        <v>599</v>
      </c>
      <c r="F222" t="s">
        <v>116</v>
      </c>
      <c r="G222" t="s">
        <v>175</v>
      </c>
      <c r="H222" s="1"/>
      <c r="I222" t="s">
        <v>543</v>
      </c>
      <c r="J222" t="s">
        <v>443</v>
      </c>
    </row>
    <row r="223" spans="1:12" x14ac:dyDescent="0.35">
      <c r="A223" t="s">
        <v>113</v>
      </c>
      <c r="B223" t="s">
        <v>172</v>
      </c>
      <c r="C223" t="s">
        <v>540</v>
      </c>
      <c r="D223" t="s">
        <v>599</v>
      </c>
      <c r="F223" t="s">
        <v>116</v>
      </c>
      <c r="G223" t="s">
        <v>175</v>
      </c>
      <c r="H223" s="1"/>
      <c r="I223" t="s">
        <v>541</v>
      </c>
      <c r="J223" t="s">
        <v>443</v>
      </c>
    </row>
    <row r="224" spans="1:12" x14ac:dyDescent="0.35">
      <c r="A224" t="s">
        <v>113</v>
      </c>
      <c r="B224" t="s">
        <v>172</v>
      </c>
      <c r="C224" t="s">
        <v>540</v>
      </c>
      <c r="D224" t="s">
        <v>599</v>
      </c>
      <c r="F224" t="s">
        <v>116</v>
      </c>
      <c r="G224" t="s">
        <v>175</v>
      </c>
      <c r="H224" s="1"/>
      <c r="I224" t="s">
        <v>538</v>
      </c>
      <c r="J224" t="s">
        <v>443</v>
      </c>
    </row>
    <row r="225" spans="1:12" x14ac:dyDescent="0.35">
      <c r="A225" t="s">
        <v>113</v>
      </c>
      <c r="B225" t="s">
        <v>172</v>
      </c>
      <c r="C225" t="s">
        <v>600</v>
      </c>
      <c r="D225" t="s">
        <v>601</v>
      </c>
      <c r="E225" t="s">
        <v>116</v>
      </c>
      <c r="F225" t="s">
        <v>137</v>
      </c>
      <c r="G225" t="s">
        <v>243</v>
      </c>
      <c r="H225" s="1"/>
    </row>
    <row r="226" spans="1:12" x14ac:dyDescent="0.35">
      <c r="A226" t="s">
        <v>113</v>
      </c>
      <c r="B226" t="s">
        <v>172</v>
      </c>
      <c r="C226" t="s">
        <v>602</v>
      </c>
      <c r="D226" t="s">
        <v>603</v>
      </c>
      <c r="E226" t="s">
        <v>149</v>
      </c>
      <c r="F226" t="s">
        <v>137</v>
      </c>
      <c r="G226" t="s">
        <v>29</v>
      </c>
      <c r="H226" s="1"/>
      <c r="I226" t="s">
        <v>606</v>
      </c>
      <c r="J226" t="s">
        <v>168</v>
      </c>
    </row>
    <row r="227" spans="1:12" x14ac:dyDescent="0.35">
      <c r="A227" t="s">
        <v>113</v>
      </c>
      <c r="B227" t="s">
        <v>172</v>
      </c>
      <c r="C227" t="s">
        <v>602</v>
      </c>
      <c r="D227" t="s">
        <v>603</v>
      </c>
      <c r="E227" t="s">
        <v>149</v>
      </c>
      <c r="F227" t="s">
        <v>137</v>
      </c>
      <c r="G227" t="s">
        <v>29</v>
      </c>
      <c r="H227" s="1"/>
      <c r="I227" t="s">
        <v>926</v>
      </c>
      <c r="J227" t="s">
        <v>422</v>
      </c>
    </row>
    <row r="228" spans="1:12" x14ac:dyDescent="0.35">
      <c r="A228" t="s">
        <v>113</v>
      </c>
      <c r="B228" t="s">
        <v>172</v>
      </c>
      <c r="C228" t="s">
        <v>604</v>
      </c>
      <c r="D228" t="s">
        <v>605</v>
      </c>
      <c r="E228" t="s">
        <v>149</v>
      </c>
      <c r="F228" t="s">
        <v>137</v>
      </c>
      <c r="G228" t="s">
        <v>29</v>
      </c>
      <c r="H228" s="1"/>
      <c r="I228" t="s">
        <v>606</v>
      </c>
      <c r="J228" t="s">
        <v>168</v>
      </c>
    </row>
    <row r="229" spans="1:12" x14ac:dyDescent="0.35">
      <c r="A229" t="s">
        <v>113</v>
      </c>
      <c r="B229" t="s">
        <v>172</v>
      </c>
      <c r="C229" t="s">
        <v>607</v>
      </c>
      <c r="D229" t="s">
        <v>608</v>
      </c>
      <c r="E229" t="s">
        <v>149</v>
      </c>
      <c r="F229" t="s">
        <v>137</v>
      </c>
      <c r="G229" t="s">
        <v>29</v>
      </c>
      <c r="H229" s="1"/>
      <c r="I229" t="s">
        <v>606</v>
      </c>
      <c r="J229" t="s">
        <v>168</v>
      </c>
    </row>
    <row r="230" spans="1:12" x14ac:dyDescent="0.35">
      <c r="A230" t="s">
        <v>113</v>
      </c>
      <c r="B230" t="s">
        <v>172</v>
      </c>
      <c r="C230" t="s">
        <v>607</v>
      </c>
      <c r="D230" t="s">
        <v>608</v>
      </c>
      <c r="E230" t="s">
        <v>149</v>
      </c>
      <c r="F230" t="s">
        <v>137</v>
      </c>
      <c r="G230" t="s">
        <v>29</v>
      </c>
      <c r="H230" s="1"/>
      <c r="I230" t="s">
        <v>927</v>
      </c>
      <c r="J230" t="s">
        <v>422</v>
      </c>
    </row>
    <row r="231" spans="1:12" x14ac:dyDescent="0.35">
      <c r="A231" t="s">
        <v>113</v>
      </c>
      <c r="B231" t="s">
        <v>172</v>
      </c>
      <c r="C231" t="s">
        <v>609</v>
      </c>
      <c r="D231" t="s">
        <v>610</v>
      </c>
      <c r="E231" t="s">
        <v>149</v>
      </c>
      <c r="F231" t="s">
        <v>137</v>
      </c>
      <c r="G231" t="s">
        <v>29</v>
      </c>
      <c r="H231" s="1"/>
    </row>
    <row r="232" spans="1:12" x14ac:dyDescent="0.35">
      <c r="A232" t="s">
        <v>113</v>
      </c>
      <c r="B232" t="s">
        <v>172</v>
      </c>
      <c r="C232" t="s">
        <v>611</v>
      </c>
      <c r="D232" t="s">
        <v>612</v>
      </c>
      <c r="E232" t="s">
        <v>149</v>
      </c>
      <c r="F232" t="s">
        <v>137</v>
      </c>
      <c r="G232" t="s">
        <v>29</v>
      </c>
      <c r="H232" s="1"/>
    </row>
    <row r="233" spans="1:12" x14ac:dyDescent="0.35">
      <c r="A233" t="s">
        <v>113</v>
      </c>
      <c r="B233" t="s">
        <v>172</v>
      </c>
      <c r="C233" t="s">
        <v>613</v>
      </c>
      <c r="D233" t="s">
        <v>614</v>
      </c>
      <c r="E233" t="s">
        <v>149</v>
      </c>
      <c r="F233" t="s">
        <v>137</v>
      </c>
      <c r="G233" t="s">
        <v>29</v>
      </c>
      <c r="H233" s="1"/>
    </row>
    <row r="234" spans="1:12" x14ac:dyDescent="0.35">
      <c r="A234" t="s">
        <v>113</v>
      </c>
      <c r="B234" t="s">
        <v>172</v>
      </c>
      <c r="C234" t="s">
        <v>615</v>
      </c>
      <c r="D234" t="s">
        <v>616</v>
      </c>
      <c r="E234" t="s">
        <v>149</v>
      </c>
      <c r="F234" t="s">
        <v>137</v>
      </c>
      <c r="G234" t="s">
        <v>29</v>
      </c>
      <c r="H234" s="1"/>
    </row>
    <row r="235" spans="1:12" x14ac:dyDescent="0.35">
      <c r="A235" t="s">
        <v>113</v>
      </c>
      <c r="B235" t="s">
        <v>172</v>
      </c>
      <c r="C235" t="s">
        <v>617</v>
      </c>
      <c r="D235" t="s">
        <v>618</v>
      </c>
      <c r="E235" t="s">
        <v>149</v>
      </c>
      <c r="F235" t="s">
        <v>137</v>
      </c>
      <c r="G235" t="s">
        <v>29</v>
      </c>
      <c r="H235" s="1"/>
    </row>
    <row r="236" spans="1:12" x14ac:dyDescent="0.35">
      <c r="A236" t="s">
        <v>113</v>
      </c>
      <c r="B236" t="s">
        <v>172</v>
      </c>
      <c r="C236" t="s">
        <v>619</v>
      </c>
      <c r="D236" t="s">
        <v>620</v>
      </c>
      <c r="E236" t="s">
        <v>149</v>
      </c>
      <c r="F236" t="s">
        <v>137</v>
      </c>
      <c r="G236" t="s">
        <v>29</v>
      </c>
      <c r="H236" s="1"/>
    </row>
    <row r="237" spans="1:12" x14ac:dyDescent="0.35">
      <c r="A237" t="s">
        <v>113</v>
      </c>
      <c r="B237" t="s">
        <v>172</v>
      </c>
      <c r="C237" t="s">
        <v>621</v>
      </c>
      <c r="D237" t="s">
        <v>622</v>
      </c>
      <c r="E237" t="s">
        <v>510</v>
      </c>
      <c r="F237" t="s">
        <v>140</v>
      </c>
      <c r="G237" t="s">
        <v>29</v>
      </c>
      <c r="H237" s="1"/>
      <c r="K237" t="s">
        <v>812</v>
      </c>
      <c r="L237" t="s">
        <v>821</v>
      </c>
    </row>
    <row r="238" spans="1:12" x14ac:dyDescent="0.35">
      <c r="A238" t="s">
        <v>113</v>
      </c>
      <c r="B238" t="s">
        <v>172</v>
      </c>
      <c r="C238" t="s">
        <v>623</v>
      </c>
      <c r="D238" t="s">
        <v>624</v>
      </c>
      <c r="E238" t="s">
        <v>149</v>
      </c>
      <c r="F238" t="s">
        <v>137</v>
      </c>
      <c r="G238" t="s">
        <v>175</v>
      </c>
      <c r="H238" s="1"/>
    </row>
    <row r="239" spans="1:12" x14ac:dyDescent="0.35">
      <c r="A239" t="s">
        <v>113</v>
      </c>
      <c r="B239" t="s">
        <v>172</v>
      </c>
      <c r="C239" t="s">
        <v>625</v>
      </c>
      <c r="D239" t="s">
        <v>626</v>
      </c>
      <c r="E239" t="s">
        <v>149</v>
      </c>
      <c r="F239" t="s">
        <v>137</v>
      </c>
      <c r="G239" t="s">
        <v>29</v>
      </c>
      <c r="H239" s="1"/>
    </row>
    <row r="240" spans="1:12" x14ac:dyDescent="0.35">
      <c r="A240" t="s">
        <v>113</v>
      </c>
      <c r="B240" t="s">
        <v>172</v>
      </c>
      <c r="C240" t="s">
        <v>627</v>
      </c>
      <c r="D240" t="s">
        <v>628</v>
      </c>
      <c r="E240" t="s">
        <v>149</v>
      </c>
      <c r="F240" t="s">
        <v>137</v>
      </c>
      <c r="G240" t="s">
        <v>29</v>
      </c>
      <c r="H240" s="1"/>
    </row>
    <row r="241" spans="1:8" x14ac:dyDescent="0.35">
      <c r="A241" t="s">
        <v>113</v>
      </c>
      <c r="B241" t="s">
        <v>172</v>
      </c>
      <c r="C241" t="s">
        <v>629</v>
      </c>
      <c r="D241" t="s">
        <v>628</v>
      </c>
      <c r="E241" t="s">
        <v>149</v>
      </c>
      <c r="F241" t="s">
        <v>137</v>
      </c>
      <c r="G241" t="s">
        <v>29</v>
      </c>
      <c r="H241" s="1"/>
    </row>
    <row r="242" spans="1:8" x14ac:dyDescent="0.35">
      <c r="A242" t="s">
        <v>113</v>
      </c>
      <c r="B242" t="s">
        <v>172</v>
      </c>
      <c r="C242" t="s">
        <v>630</v>
      </c>
      <c r="D242" t="s">
        <v>631</v>
      </c>
      <c r="E242" t="s">
        <v>149</v>
      </c>
      <c r="F242" t="s">
        <v>137</v>
      </c>
      <c r="G242" t="s">
        <v>29</v>
      </c>
      <c r="H242" s="1"/>
    </row>
    <row r="243" spans="1:8" x14ac:dyDescent="0.35">
      <c r="A243" t="s">
        <v>113</v>
      </c>
      <c r="B243" t="s">
        <v>172</v>
      </c>
      <c r="C243" t="s">
        <v>632</v>
      </c>
      <c r="D243" t="s">
        <v>633</v>
      </c>
      <c r="E243" t="s">
        <v>149</v>
      </c>
      <c r="F243" t="s">
        <v>137</v>
      </c>
      <c r="G243" t="s">
        <v>29</v>
      </c>
      <c r="H243" s="1"/>
    </row>
    <row r="244" spans="1:8" x14ac:dyDescent="0.35">
      <c r="A244" t="s">
        <v>113</v>
      </c>
      <c r="B244" t="s">
        <v>172</v>
      </c>
      <c r="C244" t="s">
        <v>634</v>
      </c>
      <c r="D244" t="s">
        <v>635</v>
      </c>
      <c r="E244" t="s">
        <v>149</v>
      </c>
      <c r="F244" t="s">
        <v>137</v>
      </c>
      <c r="G244" t="s">
        <v>29</v>
      </c>
      <c r="H244" s="1"/>
    </row>
    <row r="245" spans="1:8" x14ac:dyDescent="0.35">
      <c r="A245" t="s">
        <v>113</v>
      </c>
      <c r="B245" t="s">
        <v>172</v>
      </c>
      <c r="C245" t="s">
        <v>636</v>
      </c>
      <c r="D245" t="s">
        <v>637</v>
      </c>
      <c r="E245" t="s">
        <v>149</v>
      </c>
      <c r="F245" t="s">
        <v>137</v>
      </c>
      <c r="G245" t="s">
        <v>29</v>
      </c>
      <c r="H245" s="1"/>
    </row>
    <row r="246" spans="1:8" x14ac:dyDescent="0.35">
      <c r="A246" t="s">
        <v>113</v>
      </c>
      <c r="B246" t="s">
        <v>172</v>
      </c>
      <c r="C246" t="s">
        <v>638</v>
      </c>
      <c r="D246" t="s">
        <v>639</v>
      </c>
      <c r="E246" t="s">
        <v>149</v>
      </c>
      <c r="F246" t="s">
        <v>137</v>
      </c>
      <c r="G246" t="s">
        <v>29</v>
      </c>
      <c r="H246" s="1"/>
    </row>
    <row r="247" spans="1:8" x14ac:dyDescent="0.35">
      <c r="A247" t="s">
        <v>113</v>
      </c>
      <c r="B247" t="s">
        <v>172</v>
      </c>
      <c r="C247" t="s">
        <v>640</v>
      </c>
      <c r="D247" t="s">
        <v>641</v>
      </c>
      <c r="E247" t="s">
        <v>149</v>
      </c>
      <c r="F247" t="s">
        <v>137</v>
      </c>
      <c r="G247" t="s">
        <v>29</v>
      </c>
      <c r="H247" s="1"/>
    </row>
    <row r="248" spans="1:8" x14ac:dyDescent="0.35">
      <c r="A248" t="s">
        <v>113</v>
      </c>
      <c r="B248" t="s">
        <v>172</v>
      </c>
      <c r="C248" t="s">
        <v>642</v>
      </c>
      <c r="D248" t="s">
        <v>643</v>
      </c>
      <c r="E248" t="s">
        <v>149</v>
      </c>
      <c r="F248" t="s">
        <v>137</v>
      </c>
      <c r="G248" t="s">
        <v>29</v>
      </c>
      <c r="H248" s="1"/>
    </row>
    <row r="249" spans="1:8" x14ac:dyDescent="0.35">
      <c r="A249" t="s">
        <v>113</v>
      </c>
      <c r="B249" t="s">
        <v>172</v>
      </c>
      <c r="C249" t="s">
        <v>644</v>
      </c>
      <c r="D249" t="s">
        <v>645</v>
      </c>
      <c r="E249" t="s">
        <v>149</v>
      </c>
      <c r="F249" t="s">
        <v>137</v>
      </c>
      <c r="G249" t="s">
        <v>29</v>
      </c>
      <c r="H249" s="1"/>
    </row>
    <row r="250" spans="1:8" x14ac:dyDescent="0.35">
      <c r="A250" t="s">
        <v>113</v>
      </c>
      <c r="B250" t="s">
        <v>172</v>
      </c>
      <c r="C250" t="s">
        <v>646</v>
      </c>
      <c r="D250" t="s">
        <v>647</v>
      </c>
      <c r="E250" t="s">
        <v>149</v>
      </c>
      <c r="F250" t="s">
        <v>137</v>
      </c>
      <c r="G250" t="s">
        <v>29</v>
      </c>
      <c r="H250" s="1"/>
    </row>
    <row r="251" spans="1:8" x14ac:dyDescent="0.35">
      <c r="A251" t="s">
        <v>113</v>
      </c>
      <c r="B251" t="s">
        <v>172</v>
      </c>
      <c r="C251" t="s">
        <v>648</v>
      </c>
      <c r="D251" t="s">
        <v>649</v>
      </c>
      <c r="E251" t="s">
        <v>149</v>
      </c>
      <c r="F251" t="s">
        <v>137</v>
      </c>
      <c r="G251" t="s">
        <v>29</v>
      </c>
      <c r="H251" s="1"/>
    </row>
    <row r="252" spans="1:8" x14ac:dyDescent="0.35">
      <c r="A252" t="s">
        <v>113</v>
      </c>
      <c r="B252" t="s">
        <v>172</v>
      </c>
      <c r="C252" t="s">
        <v>650</v>
      </c>
      <c r="D252" t="s">
        <v>651</v>
      </c>
      <c r="E252" t="s">
        <v>149</v>
      </c>
      <c r="F252" t="s">
        <v>137</v>
      </c>
      <c r="G252" t="s">
        <v>29</v>
      </c>
      <c r="H252" s="1"/>
    </row>
    <row r="253" spans="1:8" x14ac:dyDescent="0.35">
      <c r="A253" t="s">
        <v>113</v>
      </c>
      <c r="B253" t="s">
        <v>172</v>
      </c>
      <c r="C253" t="s">
        <v>652</v>
      </c>
      <c r="D253" t="s">
        <v>653</v>
      </c>
      <c r="E253" t="s">
        <v>149</v>
      </c>
      <c r="F253" t="s">
        <v>137</v>
      </c>
      <c r="G253" t="s">
        <v>29</v>
      </c>
      <c r="H253" s="1"/>
    </row>
    <row r="254" spans="1:8" x14ac:dyDescent="0.35">
      <c r="A254" t="s">
        <v>113</v>
      </c>
      <c r="B254" t="s">
        <v>172</v>
      </c>
      <c r="C254" t="s">
        <v>654</v>
      </c>
      <c r="D254" t="s">
        <v>655</v>
      </c>
      <c r="E254" t="s">
        <v>149</v>
      </c>
      <c r="F254" t="s">
        <v>137</v>
      </c>
      <c r="G254" t="s">
        <v>29</v>
      </c>
      <c r="H254" s="1"/>
    </row>
    <row r="255" spans="1:8" x14ac:dyDescent="0.35">
      <c r="A255" t="s">
        <v>113</v>
      </c>
      <c r="B255" t="s">
        <v>172</v>
      </c>
      <c r="C255" t="s">
        <v>656</v>
      </c>
      <c r="D255" t="s">
        <v>657</v>
      </c>
      <c r="E255" t="s">
        <v>149</v>
      </c>
      <c r="F255" t="s">
        <v>137</v>
      </c>
      <c r="G255" t="s">
        <v>29</v>
      </c>
      <c r="H255" s="1"/>
    </row>
    <row r="256" spans="1:8" x14ac:dyDescent="0.35">
      <c r="A256" t="s">
        <v>113</v>
      </c>
      <c r="B256" t="s">
        <v>172</v>
      </c>
      <c r="C256" t="s">
        <v>658</v>
      </c>
      <c r="D256" t="s">
        <v>659</v>
      </c>
      <c r="E256" t="s">
        <v>149</v>
      </c>
      <c r="F256" t="s">
        <v>137</v>
      </c>
      <c r="G256" t="s">
        <v>29</v>
      </c>
      <c r="H256" s="1"/>
    </row>
    <row r="257" spans="1:8" x14ac:dyDescent="0.35">
      <c r="A257" t="s">
        <v>113</v>
      </c>
      <c r="B257" t="s">
        <v>172</v>
      </c>
      <c r="C257" t="s">
        <v>660</v>
      </c>
      <c r="D257" t="s">
        <v>661</v>
      </c>
      <c r="E257" t="s">
        <v>149</v>
      </c>
      <c r="F257" t="s">
        <v>137</v>
      </c>
      <c r="G257" t="s">
        <v>29</v>
      </c>
      <c r="H257" s="1"/>
    </row>
    <row r="258" spans="1:8" x14ac:dyDescent="0.35">
      <c r="A258" t="s">
        <v>113</v>
      </c>
      <c r="B258" t="s">
        <v>172</v>
      </c>
      <c r="C258" t="s">
        <v>662</v>
      </c>
      <c r="D258" t="s">
        <v>663</v>
      </c>
      <c r="E258" t="s">
        <v>149</v>
      </c>
      <c r="F258" t="s">
        <v>137</v>
      </c>
      <c r="G258" t="s">
        <v>29</v>
      </c>
      <c r="H258" s="1"/>
    </row>
    <row r="259" spans="1:8" x14ac:dyDescent="0.35">
      <c r="A259" t="s">
        <v>113</v>
      </c>
      <c r="B259" t="s">
        <v>172</v>
      </c>
      <c r="C259" t="s">
        <v>664</v>
      </c>
      <c r="D259" t="s">
        <v>665</v>
      </c>
      <c r="E259" t="s">
        <v>149</v>
      </c>
      <c r="F259" t="s">
        <v>137</v>
      </c>
      <c r="G259" t="s">
        <v>29</v>
      </c>
      <c r="H259" s="1"/>
    </row>
    <row r="260" spans="1:8" x14ac:dyDescent="0.35">
      <c r="A260" t="s">
        <v>113</v>
      </c>
      <c r="B260" t="s">
        <v>172</v>
      </c>
      <c r="C260" t="s">
        <v>666</v>
      </c>
      <c r="D260" t="s">
        <v>667</v>
      </c>
      <c r="E260" t="s">
        <v>149</v>
      </c>
      <c r="F260" t="s">
        <v>137</v>
      </c>
      <c r="G260" t="s">
        <v>175</v>
      </c>
      <c r="H260" s="1"/>
    </row>
    <row r="261" spans="1:8" x14ac:dyDescent="0.35">
      <c r="A261" t="s">
        <v>113</v>
      </c>
      <c r="B261" t="s">
        <v>172</v>
      </c>
      <c r="C261" t="s">
        <v>668</v>
      </c>
      <c r="D261" t="s">
        <v>669</v>
      </c>
      <c r="E261" t="s">
        <v>149</v>
      </c>
      <c r="F261" t="s">
        <v>137</v>
      </c>
      <c r="G261" t="s">
        <v>29</v>
      </c>
      <c r="H261" s="1"/>
    </row>
    <row r="262" spans="1:8" x14ac:dyDescent="0.35">
      <c r="A262" t="s">
        <v>113</v>
      </c>
      <c r="B262" t="s">
        <v>172</v>
      </c>
      <c r="C262" t="s">
        <v>670</v>
      </c>
      <c r="D262" t="s">
        <v>671</v>
      </c>
      <c r="E262" t="s">
        <v>149</v>
      </c>
      <c r="F262" t="s">
        <v>137</v>
      </c>
      <c r="G262" t="s">
        <v>29</v>
      </c>
      <c r="H262" s="1"/>
    </row>
    <row r="263" spans="1:8" x14ac:dyDescent="0.35">
      <c r="A263" t="s">
        <v>113</v>
      </c>
      <c r="B263" t="s">
        <v>172</v>
      </c>
      <c r="C263" t="s">
        <v>672</v>
      </c>
      <c r="D263" t="s">
        <v>673</v>
      </c>
      <c r="E263" t="s">
        <v>149</v>
      </c>
      <c r="F263" t="s">
        <v>137</v>
      </c>
      <c r="G263" t="s">
        <v>29</v>
      </c>
      <c r="H263" s="1"/>
    </row>
    <row r="264" spans="1:8" x14ac:dyDescent="0.35">
      <c r="A264" t="s">
        <v>113</v>
      </c>
      <c r="B264" t="s">
        <v>172</v>
      </c>
      <c r="C264" t="s">
        <v>674</v>
      </c>
      <c r="D264" t="s">
        <v>675</v>
      </c>
      <c r="E264" t="s">
        <v>149</v>
      </c>
      <c r="F264" t="s">
        <v>137</v>
      </c>
      <c r="G264" t="s">
        <v>29</v>
      </c>
      <c r="H264" s="1"/>
    </row>
    <row r="265" spans="1:8" x14ac:dyDescent="0.35">
      <c r="A265" t="s">
        <v>113</v>
      </c>
      <c r="B265" t="s">
        <v>172</v>
      </c>
      <c r="C265" t="s">
        <v>676</v>
      </c>
      <c r="D265" t="s">
        <v>677</v>
      </c>
      <c r="E265" t="s">
        <v>149</v>
      </c>
      <c r="F265" t="s">
        <v>137</v>
      </c>
      <c r="G265" t="s">
        <v>29</v>
      </c>
      <c r="H265" s="1"/>
    </row>
    <row r="266" spans="1:8" x14ac:dyDescent="0.35">
      <c r="A266" t="s">
        <v>113</v>
      </c>
      <c r="B266" t="s">
        <v>172</v>
      </c>
      <c r="C266" t="s">
        <v>678</v>
      </c>
      <c r="D266" t="s">
        <v>679</v>
      </c>
      <c r="E266" t="s">
        <v>149</v>
      </c>
      <c r="F266" t="s">
        <v>137</v>
      </c>
      <c r="G266" t="s">
        <v>29</v>
      </c>
      <c r="H266" s="1"/>
    </row>
    <row r="267" spans="1:8" x14ac:dyDescent="0.35">
      <c r="A267" t="s">
        <v>113</v>
      </c>
      <c r="B267" t="s">
        <v>172</v>
      </c>
      <c r="C267" t="s">
        <v>680</v>
      </c>
      <c r="D267" t="s">
        <v>681</v>
      </c>
      <c r="E267" t="s">
        <v>149</v>
      </c>
      <c r="F267" t="s">
        <v>137</v>
      </c>
      <c r="G267" t="s">
        <v>29</v>
      </c>
      <c r="H267" s="1"/>
    </row>
    <row r="268" spans="1:8" x14ac:dyDescent="0.35">
      <c r="A268" t="s">
        <v>113</v>
      </c>
      <c r="B268" t="s">
        <v>172</v>
      </c>
      <c r="C268" t="s">
        <v>682</v>
      </c>
      <c r="D268" t="s">
        <v>683</v>
      </c>
      <c r="E268" t="s">
        <v>149</v>
      </c>
      <c r="F268" t="s">
        <v>137</v>
      </c>
      <c r="G268" t="s">
        <v>29</v>
      </c>
      <c r="H268" s="1"/>
    </row>
    <row r="269" spans="1:8" x14ac:dyDescent="0.35">
      <c r="A269" t="s">
        <v>113</v>
      </c>
      <c r="B269" t="s">
        <v>172</v>
      </c>
      <c r="C269" t="s">
        <v>684</v>
      </c>
      <c r="D269" t="s">
        <v>685</v>
      </c>
      <c r="E269" t="s">
        <v>149</v>
      </c>
      <c r="F269" t="s">
        <v>137</v>
      </c>
      <c r="G269" t="s">
        <v>29</v>
      </c>
      <c r="H269" s="1"/>
    </row>
    <row r="270" spans="1:8" x14ac:dyDescent="0.35">
      <c r="A270" t="s">
        <v>113</v>
      </c>
      <c r="B270" t="s">
        <v>172</v>
      </c>
      <c r="C270" t="s">
        <v>686</v>
      </c>
      <c r="D270" t="s">
        <v>687</v>
      </c>
      <c r="E270" t="s">
        <v>149</v>
      </c>
      <c r="F270" t="s">
        <v>137</v>
      </c>
      <c r="G270" t="s">
        <v>29</v>
      </c>
      <c r="H270" s="1"/>
    </row>
    <row r="271" spans="1:8" x14ac:dyDescent="0.35">
      <c r="A271" t="s">
        <v>113</v>
      </c>
      <c r="B271" t="s">
        <v>172</v>
      </c>
      <c r="C271" t="s">
        <v>688</v>
      </c>
      <c r="D271" t="s">
        <v>689</v>
      </c>
      <c r="E271" t="s">
        <v>149</v>
      </c>
      <c r="F271" t="s">
        <v>137</v>
      </c>
      <c r="G271" t="s">
        <v>29</v>
      </c>
      <c r="H271" s="1"/>
    </row>
    <row r="272" spans="1:8" x14ac:dyDescent="0.35">
      <c r="A272" t="s">
        <v>113</v>
      </c>
      <c r="B272" t="s">
        <v>172</v>
      </c>
      <c r="C272" t="s">
        <v>690</v>
      </c>
      <c r="D272" t="s">
        <v>691</v>
      </c>
      <c r="E272" t="s">
        <v>149</v>
      </c>
      <c r="F272" t="s">
        <v>137</v>
      </c>
      <c r="G272" t="s">
        <v>29</v>
      </c>
      <c r="H272" s="1"/>
    </row>
    <row r="273" spans="1:10" x14ac:dyDescent="0.35">
      <c r="A273" t="s">
        <v>113</v>
      </c>
      <c r="B273" t="s">
        <v>172</v>
      </c>
      <c r="C273" t="s">
        <v>692</v>
      </c>
      <c r="D273" t="s">
        <v>693</v>
      </c>
      <c r="E273" t="s">
        <v>149</v>
      </c>
      <c r="F273" t="s">
        <v>137</v>
      </c>
      <c r="G273" t="s">
        <v>29</v>
      </c>
      <c r="H273" s="1"/>
    </row>
    <row r="274" spans="1:10" x14ac:dyDescent="0.35">
      <c r="A274" t="s">
        <v>113</v>
      </c>
      <c r="B274" t="s">
        <v>172</v>
      </c>
      <c r="C274" t="s">
        <v>694</v>
      </c>
      <c r="D274" t="s">
        <v>695</v>
      </c>
      <c r="E274" t="s">
        <v>149</v>
      </c>
      <c r="F274" t="s">
        <v>137</v>
      </c>
      <c r="G274" t="s">
        <v>29</v>
      </c>
      <c r="H274" s="1"/>
    </row>
    <row r="275" spans="1:10" x14ac:dyDescent="0.35">
      <c r="A275" t="s">
        <v>113</v>
      </c>
      <c r="B275" t="s">
        <v>172</v>
      </c>
      <c r="C275" t="s">
        <v>696</v>
      </c>
      <c r="D275" t="s">
        <v>697</v>
      </c>
      <c r="E275" t="s">
        <v>149</v>
      </c>
      <c r="F275" t="s">
        <v>137</v>
      </c>
      <c r="G275" t="s">
        <v>29</v>
      </c>
      <c r="H275" s="1"/>
    </row>
    <row r="276" spans="1:10" x14ac:dyDescent="0.35">
      <c r="A276" t="s">
        <v>113</v>
      </c>
      <c r="B276" t="s">
        <v>172</v>
      </c>
      <c r="C276" t="s">
        <v>698</v>
      </c>
      <c r="D276" t="s">
        <v>699</v>
      </c>
      <c r="E276" t="s">
        <v>149</v>
      </c>
      <c r="F276" t="s">
        <v>137</v>
      </c>
      <c r="G276" t="s">
        <v>29</v>
      </c>
      <c r="H276" s="1"/>
    </row>
    <row r="277" spans="1:10" x14ac:dyDescent="0.35">
      <c r="A277" t="s">
        <v>113</v>
      </c>
      <c r="B277" t="s">
        <v>172</v>
      </c>
      <c r="C277" t="s">
        <v>700</v>
      </c>
      <c r="D277" t="s">
        <v>701</v>
      </c>
      <c r="E277" t="s">
        <v>149</v>
      </c>
      <c r="F277" t="s">
        <v>137</v>
      </c>
      <c r="G277" t="s">
        <v>29</v>
      </c>
      <c r="H277" s="1"/>
    </row>
    <row r="278" spans="1:10" x14ac:dyDescent="0.35">
      <c r="A278" t="s">
        <v>113</v>
      </c>
      <c r="B278" t="s">
        <v>172</v>
      </c>
      <c r="C278" t="s">
        <v>702</v>
      </c>
      <c r="D278" t="s">
        <v>703</v>
      </c>
      <c r="E278" t="s">
        <v>149</v>
      </c>
      <c r="F278" t="s">
        <v>137</v>
      </c>
      <c r="G278" t="s">
        <v>29</v>
      </c>
      <c r="H278" s="1"/>
    </row>
    <row r="279" spans="1:10" x14ac:dyDescent="0.35">
      <c r="A279" t="s">
        <v>113</v>
      </c>
      <c r="B279" t="s">
        <v>172</v>
      </c>
      <c r="C279" t="s">
        <v>704</v>
      </c>
      <c r="D279" t="s">
        <v>705</v>
      </c>
      <c r="E279" t="s">
        <v>149</v>
      </c>
      <c r="F279" t="s">
        <v>137</v>
      </c>
      <c r="G279" t="s">
        <v>29</v>
      </c>
      <c r="H279" s="1"/>
    </row>
    <row r="280" spans="1:10" x14ac:dyDescent="0.35">
      <c r="A280" t="s">
        <v>113</v>
      </c>
      <c r="B280" t="s">
        <v>172</v>
      </c>
      <c r="C280" t="s">
        <v>706</v>
      </c>
      <c r="D280" t="s">
        <v>707</v>
      </c>
      <c r="E280" t="s">
        <v>149</v>
      </c>
      <c r="F280" t="s">
        <v>137</v>
      </c>
      <c r="G280" t="s">
        <v>29</v>
      </c>
      <c r="H280" s="1"/>
    </row>
    <row r="281" spans="1:10" x14ac:dyDescent="0.35">
      <c r="A281" t="s">
        <v>113</v>
      </c>
      <c r="B281" t="s">
        <v>172</v>
      </c>
      <c r="C281" t="s">
        <v>708</v>
      </c>
      <c r="D281" t="s">
        <v>709</v>
      </c>
      <c r="E281" t="s">
        <v>149</v>
      </c>
      <c r="F281" t="s">
        <v>137</v>
      </c>
      <c r="G281" t="s">
        <v>29</v>
      </c>
      <c r="H281" s="1"/>
    </row>
    <row r="282" spans="1:10" x14ac:dyDescent="0.35">
      <c r="A282" t="s">
        <v>113</v>
      </c>
      <c r="B282" t="s">
        <v>172</v>
      </c>
      <c r="C282" t="s">
        <v>710</v>
      </c>
      <c r="D282" t="s">
        <v>711</v>
      </c>
      <c r="E282" t="s">
        <v>149</v>
      </c>
      <c r="F282" t="s">
        <v>137</v>
      </c>
      <c r="G282" t="s">
        <v>29</v>
      </c>
      <c r="H282" s="1"/>
      <c r="I282" t="s">
        <v>712</v>
      </c>
      <c r="J282" t="s">
        <v>168</v>
      </c>
    </row>
    <row r="283" spans="1:10" x14ac:dyDescent="0.35">
      <c r="A283" t="s">
        <v>113</v>
      </c>
      <c r="B283" t="s">
        <v>172</v>
      </c>
      <c r="C283" t="s">
        <v>712</v>
      </c>
      <c r="D283" t="s">
        <v>713</v>
      </c>
      <c r="E283" t="s">
        <v>149</v>
      </c>
      <c r="F283" t="s">
        <v>137</v>
      </c>
      <c r="G283" t="s">
        <v>29</v>
      </c>
      <c r="H283" s="1"/>
      <c r="I283" t="s">
        <v>710</v>
      </c>
      <c r="J283" t="s">
        <v>170</v>
      </c>
    </row>
    <row r="284" spans="1:10" x14ac:dyDescent="0.35">
      <c r="A284" t="s">
        <v>113</v>
      </c>
      <c r="B284" t="s">
        <v>172</v>
      </c>
      <c r="C284" t="s">
        <v>714</v>
      </c>
      <c r="D284" t="s">
        <v>715</v>
      </c>
      <c r="E284" t="s">
        <v>149</v>
      </c>
      <c r="F284" t="s">
        <v>137</v>
      </c>
      <c r="G284" t="s">
        <v>29</v>
      </c>
      <c r="H284" s="1"/>
    </row>
    <row r="285" spans="1:10" x14ac:dyDescent="0.35">
      <c r="A285" t="s">
        <v>113</v>
      </c>
      <c r="B285" t="s">
        <v>172</v>
      </c>
      <c r="C285" t="s">
        <v>716</v>
      </c>
      <c r="D285" t="s">
        <v>717</v>
      </c>
      <c r="E285" t="s">
        <v>149</v>
      </c>
      <c r="F285" t="s">
        <v>137</v>
      </c>
      <c r="G285" t="s">
        <v>29</v>
      </c>
      <c r="H285" s="1"/>
    </row>
    <row r="286" spans="1:10" x14ac:dyDescent="0.35">
      <c r="A286" t="s">
        <v>113</v>
      </c>
      <c r="B286" t="s">
        <v>172</v>
      </c>
      <c r="C286" t="s">
        <v>718</v>
      </c>
      <c r="D286" t="s">
        <v>719</v>
      </c>
      <c r="E286" t="s">
        <v>149</v>
      </c>
      <c r="F286" t="s">
        <v>137</v>
      </c>
      <c r="G286" t="s">
        <v>29</v>
      </c>
      <c r="H286" s="1"/>
    </row>
    <row r="287" spans="1:10" x14ac:dyDescent="0.35">
      <c r="A287" t="s">
        <v>113</v>
      </c>
      <c r="B287" t="s">
        <v>172</v>
      </c>
      <c r="C287" t="s">
        <v>720</v>
      </c>
      <c r="D287" t="s">
        <v>721</v>
      </c>
      <c r="E287" t="s">
        <v>149</v>
      </c>
      <c r="F287" t="s">
        <v>137</v>
      </c>
      <c r="G287" t="s">
        <v>29</v>
      </c>
      <c r="H287" s="1"/>
    </row>
    <row r="288" spans="1:10" x14ac:dyDescent="0.35">
      <c r="A288" t="s">
        <v>113</v>
      </c>
      <c r="B288" t="s">
        <v>172</v>
      </c>
      <c r="C288" t="s">
        <v>722</v>
      </c>
      <c r="D288" t="s">
        <v>723</v>
      </c>
      <c r="E288" t="s">
        <v>149</v>
      </c>
      <c r="F288" t="s">
        <v>137</v>
      </c>
      <c r="G288" t="s">
        <v>29</v>
      </c>
      <c r="H288" s="1"/>
    </row>
    <row r="289" spans="1:12" x14ac:dyDescent="0.35">
      <c r="A289" t="s">
        <v>113</v>
      </c>
      <c r="B289" t="s">
        <v>172</v>
      </c>
      <c r="C289" t="s">
        <v>928</v>
      </c>
      <c r="D289" t="s">
        <v>929</v>
      </c>
      <c r="E289" t="s">
        <v>510</v>
      </c>
      <c r="F289" t="s">
        <v>116</v>
      </c>
      <c r="G289" t="s">
        <v>201</v>
      </c>
      <c r="H289" s="1"/>
      <c r="I289" t="s">
        <v>930</v>
      </c>
      <c r="J289" t="s">
        <v>168</v>
      </c>
      <c r="K289" t="s">
        <v>931</v>
      </c>
      <c r="L289" t="s">
        <v>821</v>
      </c>
    </row>
    <row r="290" spans="1:12" x14ac:dyDescent="0.35">
      <c r="A290" t="s">
        <v>113</v>
      </c>
      <c r="B290" t="s">
        <v>172</v>
      </c>
      <c r="C290" t="s">
        <v>724</v>
      </c>
      <c r="D290" t="s">
        <v>725</v>
      </c>
      <c r="E290" t="s">
        <v>149</v>
      </c>
      <c r="F290" t="s">
        <v>137</v>
      </c>
      <c r="G290" t="s">
        <v>29</v>
      </c>
      <c r="H290" s="1"/>
    </row>
    <row r="291" spans="1:12" x14ac:dyDescent="0.35">
      <c r="A291" t="s">
        <v>113</v>
      </c>
      <c r="B291" t="s">
        <v>172</v>
      </c>
      <c r="C291" t="s">
        <v>726</v>
      </c>
      <c r="D291" t="s">
        <v>727</v>
      </c>
      <c r="E291" t="s">
        <v>149</v>
      </c>
      <c r="F291" t="s">
        <v>137</v>
      </c>
      <c r="G291" t="s">
        <v>29</v>
      </c>
      <c r="H291" s="1"/>
    </row>
    <row r="292" spans="1:12" x14ac:dyDescent="0.35">
      <c r="A292" t="s">
        <v>113</v>
      </c>
      <c r="B292" t="s">
        <v>172</v>
      </c>
      <c r="C292" t="s">
        <v>728</v>
      </c>
      <c r="D292" t="s">
        <v>729</v>
      </c>
      <c r="E292" t="s">
        <v>149</v>
      </c>
      <c r="F292" t="s">
        <v>137</v>
      </c>
      <c r="G292" t="s">
        <v>29</v>
      </c>
      <c r="H292" s="1"/>
    </row>
    <row r="293" spans="1:12" x14ac:dyDescent="0.35">
      <c r="A293" t="s">
        <v>113</v>
      </c>
      <c r="B293" t="s">
        <v>172</v>
      </c>
      <c r="C293" t="s">
        <v>730</v>
      </c>
      <c r="D293" t="s">
        <v>731</v>
      </c>
      <c r="E293" t="s">
        <v>149</v>
      </c>
      <c r="F293" t="s">
        <v>137</v>
      </c>
      <c r="G293" t="s">
        <v>29</v>
      </c>
      <c r="H293" s="1"/>
    </row>
    <row r="294" spans="1:12" x14ac:dyDescent="0.35">
      <c r="A294" t="s">
        <v>113</v>
      </c>
      <c r="B294" t="s">
        <v>172</v>
      </c>
      <c r="C294" t="s">
        <v>732</v>
      </c>
      <c r="D294" t="s">
        <v>733</v>
      </c>
      <c r="E294" t="s">
        <v>149</v>
      </c>
      <c r="F294" t="s">
        <v>137</v>
      </c>
      <c r="G294" t="s">
        <v>29</v>
      </c>
      <c r="H294" s="1"/>
    </row>
    <row r="295" spans="1:12" x14ac:dyDescent="0.35">
      <c r="A295" t="s">
        <v>113</v>
      </c>
      <c r="B295" t="s">
        <v>172</v>
      </c>
      <c r="C295" t="s">
        <v>734</v>
      </c>
      <c r="D295" t="s">
        <v>735</v>
      </c>
      <c r="E295" t="s">
        <v>149</v>
      </c>
      <c r="F295" t="s">
        <v>137</v>
      </c>
      <c r="G295" t="s">
        <v>29</v>
      </c>
      <c r="H295" s="1"/>
    </row>
    <row r="296" spans="1:12" x14ac:dyDescent="0.35">
      <c r="A296" t="s">
        <v>113</v>
      </c>
      <c r="B296" t="s">
        <v>172</v>
      </c>
      <c r="C296" t="s">
        <v>736</v>
      </c>
      <c r="D296" t="s">
        <v>737</v>
      </c>
      <c r="E296" t="s">
        <v>149</v>
      </c>
      <c r="F296" t="s">
        <v>137</v>
      </c>
      <c r="G296" t="s">
        <v>29</v>
      </c>
      <c r="H296" s="1"/>
    </row>
    <row r="297" spans="1:12" x14ac:dyDescent="0.35">
      <c r="A297" t="s">
        <v>113</v>
      </c>
      <c r="B297" t="s">
        <v>172</v>
      </c>
      <c r="C297" t="s">
        <v>738</v>
      </c>
      <c r="D297" t="s">
        <v>739</v>
      </c>
      <c r="E297" t="s">
        <v>149</v>
      </c>
      <c r="F297" t="s">
        <v>137</v>
      </c>
      <c r="G297" t="s">
        <v>29</v>
      </c>
      <c r="H297" s="1"/>
    </row>
    <row r="298" spans="1:12" x14ac:dyDescent="0.35">
      <c r="A298" t="s">
        <v>113</v>
      </c>
      <c r="B298" t="s">
        <v>172</v>
      </c>
      <c r="C298" t="s">
        <v>740</v>
      </c>
      <c r="D298" t="s">
        <v>741</v>
      </c>
      <c r="E298" t="s">
        <v>149</v>
      </c>
      <c r="F298" t="s">
        <v>116</v>
      </c>
      <c r="G298" t="s">
        <v>29</v>
      </c>
      <c r="H298" s="1"/>
    </row>
    <row r="299" spans="1:12" x14ac:dyDescent="0.35">
      <c r="A299" t="s">
        <v>113</v>
      </c>
      <c r="B299" t="s">
        <v>172</v>
      </c>
      <c r="C299" t="s">
        <v>742</v>
      </c>
      <c r="D299" t="s">
        <v>743</v>
      </c>
      <c r="E299" t="s">
        <v>514</v>
      </c>
      <c r="F299" t="s">
        <v>591</v>
      </c>
      <c r="G299" t="s">
        <v>29</v>
      </c>
      <c r="H299" s="1"/>
      <c r="K299" t="s">
        <v>811</v>
      </c>
      <c r="L299" t="s">
        <v>823</v>
      </c>
    </row>
    <row r="300" spans="1:12" x14ac:dyDescent="0.35">
      <c r="A300" t="s">
        <v>113</v>
      </c>
      <c r="B300" t="s">
        <v>172</v>
      </c>
      <c r="C300" t="s">
        <v>744</v>
      </c>
      <c r="D300" t="s">
        <v>745</v>
      </c>
      <c r="E300" t="s">
        <v>510</v>
      </c>
      <c r="F300" t="s">
        <v>140</v>
      </c>
      <c r="G300" t="s">
        <v>29</v>
      </c>
      <c r="H300" s="1"/>
      <c r="K300" t="s">
        <v>812</v>
      </c>
      <c r="L300" t="s">
        <v>821</v>
      </c>
    </row>
    <row r="301" spans="1:12" x14ac:dyDescent="0.35">
      <c r="A301" t="s">
        <v>113</v>
      </c>
      <c r="B301" t="s">
        <v>172</v>
      </c>
      <c r="C301" t="s">
        <v>746</v>
      </c>
      <c r="D301" t="s">
        <v>747</v>
      </c>
      <c r="E301" t="s">
        <v>116</v>
      </c>
      <c r="F301" t="s">
        <v>116</v>
      </c>
      <c r="G301" t="s">
        <v>221</v>
      </c>
      <c r="H301" s="1"/>
      <c r="I301" t="s">
        <v>748</v>
      </c>
      <c r="J301" t="s">
        <v>422</v>
      </c>
      <c r="K301" t="s">
        <v>814</v>
      </c>
      <c r="L301" t="s">
        <v>822</v>
      </c>
    </row>
    <row r="302" spans="1:12" x14ac:dyDescent="0.35">
      <c r="A302" t="s">
        <v>113</v>
      </c>
      <c r="B302" t="s">
        <v>172</v>
      </c>
      <c r="C302" t="s">
        <v>749</v>
      </c>
      <c r="D302" t="s">
        <v>750</v>
      </c>
      <c r="E302" t="s">
        <v>116</v>
      </c>
      <c r="F302" t="s">
        <v>116</v>
      </c>
      <c r="G302" t="s">
        <v>221</v>
      </c>
      <c r="H302" s="1"/>
      <c r="I302" t="s">
        <v>751</v>
      </c>
      <c r="J302" t="s">
        <v>422</v>
      </c>
      <c r="K302" t="s">
        <v>814</v>
      </c>
      <c r="L302" t="s">
        <v>822</v>
      </c>
    </row>
    <row r="303" spans="1:12" x14ac:dyDescent="0.35">
      <c r="A303" t="s">
        <v>113</v>
      </c>
      <c r="B303" t="s">
        <v>172</v>
      </c>
      <c r="C303" t="s">
        <v>752</v>
      </c>
      <c r="D303" t="s">
        <v>753</v>
      </c>
      <c r="E303" t="s">
        <v>510</v>
      </c>
      <c r="F303" t="s">
        <v>140</v>
      </c>
      <c r="G303" t="s">
        <v>201</v>
      </c>
      <c r="H303" s="1"/>
      <c r="I303" t="s">
        <v>932</v>
      </c>
      <c r="J303" t="s">
        <v>422</v>
      </c>
      <c r="K303" t="s">
        <v>816</v>
      </c>
      <c r="L303" t="s">
        <v>821</v>
      </c>
    </row>
    <row r="304" spans="1:12" x14ac:dyDescent="0.35">
      <c r="A304" t="s">
        <v>113</v>
      </c>
      <c r="B304" t="s">
        <v>172</v>
      </c>
      <c r="C304" t="s">
        <v>752</v>
      </c>
      <c r="D304" t="s">
        <v>753</v>
      </c>
      <c r="E304" t="s">
        <v>510</v>
      </c>
      <c r="F304" t="s">
        <v>140</v>
      </c>
      <c r="G304" t="s">
        <v>201</v>
      </c>
      <c r="H304" s="1"/>
      <c r="I304" t="s">
        <v>933</v>
      </c>
      <c r="J304" t="s">
        <v>168</v>
      </c>
      <c r="K304" t="s">
        <v>816</v>
      </c>
      <c r="L304" t="s">
        <v>821</v>
      </c>
    </row>
    <row r="305" spans="1:12" x14ac:dyDescent="0.35">
      <c r="A305" t="s">
        <v>113</v>
      </c>
      <c r="B305" t="s">
        <v>172</v>
      </c>
      <c r="C305" t="s">
        <v>754</v>
      </c>
      <c r="D305" t="s">
        <v>755</v>
      </c>
      <c r="E305" t="s">
        <v>116</v>
      </c>
      <c r="F305" t="s">
        <v>536</v>
      </c>
      <c r="G305" t="s">
        <v>221</v>
      </c>
      <c r="H305" s="1"/>
      <c r="I305" t="s">
        <v>756</v>
      </c>
      <c r="J305" t="s">
        <v>422</v>
      </c>
      <c r="K305" t="s">
        <v>814</v>
      </c>
      <c r="L305" t="s">
        <v>822</v>
      </c>
    </row>
    <row r="306" spans="1:12" x14ac:dyDescent="0.35">
      <c r="A306" t="s">
        <v>113</v>
      </c>
      <c r="B306" t="s">
        <v>172</v>
      </c>
      <c r="C306" t="s">
        <v>757</v>
      </c>
      <c r="D306" t="s">
        <v>758</v>
      </c>
      <c r="E306" t="s">
        <v>116</v>
      </c>
      <c r="F306" t="s">
        <v>140</v>
      </c>
      <c r="G306" t="s">
        <v>29</v>
      </c>
      <c r="H306" s="1"/>
      <c r="I306" t="s">
        <v>759</v>
      </c>
      <c r="J306" t="s">
        <v>168</v>
      </c>
    </row>
    <row r="307" spans="1:12" x14ac:dyDescent="0.35">
      <c r="A307" t="s">
        <v>113</v>
      </c>
      <c r="B307" t="s">
        <v>172</v>
      </c>
      <c r="C307" t="s">
        <v>760</v>
      </c>
      <c r="D307" t="s">
        <v>761</v>
      </c>
      <c r="E307" t="s">
        <v>116</v>
      </c>
      <c r="F307" t="s">
        <v>116</v>
      </c>
      <c r="G307" t="s">
        <v>243</v>
      </c>
      <c r="H307" s="1"/>
    </row>
    <row r="308" spans="1:12" x14ac:dyDescent="0.35">
      <c r="A308" t="s">
        <v>113</v>
      </c>
      <c r="B308" t="s">
        <v>172</v>
      </c>
      <c r="C308" t="s">
        <v>762</v>
      </c>
      <c r="D308" t="s">
        <v>763</v>
      </c>
      <c r="E308" t="s">
        <v>510</v>
      </c>
      <c r="F308" t="s">
        <v>137</v>
      </c>
      <c r="G308" t="s">
        <v>52</v>
      </c>
      <c r="H308" s="1"/>
      <c r="K308" t="s">
        <v>815</v>
      </c>
      <c r="L308" t="s">
        <v>821</v>
      </c>
    </row>
    <row r="309" spans="1:12" x14ac:dyDescent="0.35">
      <c r="A309" t="s">
        <v>113</v>
      </c>
      <c r="B309" t="s">
        <v>172</v>
      </c>
      <c r="C309" t="s">
        <v>764</v>
      </c>
      <c r="D309" t="s">
        <v>765</v>
      </c>
      <c r="E309" t="s">
        <v>116</v>
      </c>
      <c r="F309" t="s">
        <v>536</v>
      </c>
      <c r="G309" t="s">
        <v>203</v>
      </c>
      <c r="H309" s="1"/>
    </row>
    <row r="310" spans="1:12" x14ac:dyDescent="0.35">
      <c r="A310" t="s">
        <v>113</v>
      </c>
      <c r="B310" t="s">
        <v>172</v>
      </c>
      <c r="C310" t="s">
        <v>766</v>
      </c>
      <c r="D310" t="s">
        <v>767</v>
      </c>
      <c r="E310" t="s">
        <v>494</v>
      </c>
      <c r="F310" t="s">
        <v>116</v>
      </c>
      <c r="G310" t="s">
        <v>29</v>
      </c>
      <c r="H310" s="1"/>
      <c r="K310" t="s">
        <v>811</v>
      </c>
      <c r="L310" t="s">
        <v>823</v>
      </c>
    </row>
    <row r="311" spans="1:12" x14ac:dyDescent="0.35">
      <c r="A311" t="s">
        <v>113</v>
      </c>
      <c r="B311" t="s">
        <v>172</v>
      </c>
      <c r="C311" t="s">
        <v>768</v>
      </c>
      <c r="D311" t="s">
        <v>769</v>
      </c>
      <c r="E311" t="s">
        <v>497</v>
      </c>
      <c r="F311" t="s">
        <v>770</v>
      </c>
      <c r="G311" t="s">
        <v>203</v>
      </c>
      <c r="H311" s="1"/>
      <c r="K311" t="s">
        <v>813</v>
      </c>
    </row>
    <row r="312" spans="1:12" x14ac:dyDescent="0.35">
      <c r="A312" t="s">
        <v>113</v>
      </c>
      <c r="B312" t="s">
        <v>172</v>
      </c>
      <c r="C312" t="s">
        <v>771</v>
      </c>
      <c r="D312" t="s">
        <v>772</v>
      </c>
      <c r="E312" t="s">
        <v>116</v>
      </c>
      <c r="F312" t="s">
        <v>140</v>
      </c>
      <c r="G312" t="s">
        <v>203</v>
      </c>
      <c r="H312" s="1"/>
    </row>
    <row r="313" spans="1:12" x14ac:dyDescent="0.35">
      <c r="A313" t="s">
        <v>113</v>
      </c>
      <c r="B313" t="s">
        <v>172</v>
      </c>
      <c r="C313" t="s">
        <v>773</v>
      </c>
      <c r="D313" t="s">
        <v>774</v>
      </c>
      <c r="E313" t="s">
        <v>116</v>
      </c>
      <c r="F313" t="s">
        <v>116</v>
      </c>
      <c r="G313" t="s">
        <v>243</v>
      </c>
      <c r="H313" s="1"/>
      <c r="I313" t="s">
        <v>775</v>
      </c>
      <c r="J313" t="s">
        <v>168</v>
      </c>
      <c r="K313" t="s">
        <v>817</v>
      </c>
      <c r="L313" t="s">
        <v>832</v>
      </c>
    </row>
    <row r="314" spans="1:12" x14ac:dyDescent="0.35">
      <c r="A314" t="s">
        <v>113</v>
      </c>
      <c r="B314" t="s">
        <v>172</v>
      </c>
      <c r="C314" t="s">
        <v>776</v>
      </c>
      <c r="D314" t="s">
        <v>777</v>
      </c>
      <c r="E314" t="s">
        <v>116</v>
      </c>
      <c r="F314" t="s">
        <v>116</v>
      </c>
      <c r="G314" t="s">
        <v>243</v>
      </c>
      <c r="H314" s="1"/>
      <c r="K314" t="s">
        <v>818</v>
      </c>
      <c r="L314" t="s">
        <v>833</v>
      </c>
    </row>
    <row r="315" spans="1:12" x14ac:dyDescent="0.35">
      <c r="A315" t="s">
        <v>113</v>
      </c>
      <c r="B315" t="s">
        <v>172</v>
      </c>
      <c r="C315" t="s">
        <v>778</v>
      </c>
      <c r="D315" t="s">
        <v>779</v>
      </c>
      <c r="E315" t="s">
        <v>116</v>
      </c>
      <c r="F315" t="s">
        <v>116</v>
      </c>
      <c r="G315" t="s">
        <v>243</v>
      </c>
      <c r="H315" s="1"/>
      <c r="I315" t="s">
        <v>934</v>
      </c>
      <c r="J315" t="s">
        <v>780</v>
      </c>
      <c r="K315" t="s">
        <v>819</v>
      </c>
      <c r="L315" t="s">
        <v>834</v>
      </c>
    </row>
    <row r="316" spans="1:12" x14ac:dyDescent="0.35">
      <c r="A316" t="s">
        <v>113</v>
      </c>
      <c r="B316" t="s">
        <v>172</v>
      </c>
      <c r="C316" t="s">
        <v>778</v>
      </c>
      <c r="D316" t="s">
        <v>779</v>
      </c>
      <c r="E316" t="s">
        <v>116</v>
      </c>
      <c r="F316" t="s">
        <v>116</v>
      </c>
      <c r="G316" t="s">
        <v>243</v>
      </c>
      <c r="H316" s="1"/>
      <c r="I316" t="s">
        <v>935</v>
      </c>
      <c r="J316" t="s">
        <v>170</v>
      </c>
      <c r="K316" t="s">
        <v>819</v>
      </c>
      <c r="L316" t="s">
        <v>834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6A47-2F39-461A-9981-DCE685FB534D}">
  <dimension ref="A1:W50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9" sqref="F9"/>
    </sheetView>
  </sheetViews>
  <sheetFormatPr defaultColWidth="8.7265625" defaultRowHeight="14.5" outlineLevelCol="2" x14ac:dyDescent="0.35"/>
  <cols>
    <col min="1" max="2" width="16.36328125" customWidth="1"/>
    <col min="3" max="3" width="12.7265625" customWidth="1"/>
    <col min="4" max="4" width="17.26953125" customWidth="1"/>
    <col min="5" max="5" width="23.6328125" customWidth="1"/>
    <col min="6" max="6" width="47.26953125" customWidth="1"/>
    <col min="7" max="7" width="17.26953125" customWidth="1"/>
    <col min="8" max="8" width="23.6328125" customWidth="1"/>
    <col min="9" max="9" width="15.453125" customWidth="1"/>
    <col min="10" max="10" width="13.6328125" customWidth="1"/>
    <col min="11" max="11" width="20" customWidth="1"/>
    <col min="12" max="12" width="18.1796875" customWidth="1"/>
    <col min="13" max="13" width="47.26953125" customWidth="1"/>
    <col min="14" max="14" width="17.26953125" customWidth="1"/>
    <col min="15" max="15" width="13.6328125" customWidth="1"/>
    <col min="16" max="16" width="18.1796875" customWidth="1"/>
    <col min="17" max="17" width="20.90625" customWidth="1"/>
    <col min="18" max="18" width="14.54296875" customWidth="1"/>
    <col min="19" max="22" width="0" hidden="1" customWidth="1" outlineLevel="2"/>
    <col min="23" max="23" width="8.7265625" collapsed="1"/>
  </cols>
  <sheetData>
    <row r="1" spans="1:22" ht="24" customHeight="1" x14ac:dyDescent="0.4">
      <c r="A1" s="13" t="s">
        <v>858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4" t="s">
        <v>874</v>
      </c>
      <c r="T1" s="4" t="s">
        <v>875</v>
      </c>
      <c r="U1" s="4" t="s">
        <v>876</v>
      </c>
      <c r="V1" s="4" t="s">
        <v>877</v>
      </c>
    </row>
    <row r="2" spans="1:22" ht="32" customHeight="1" thickBot="1" x14ac:dyDescent="0.4">
      <c r="A2" s="8" t="s">
        <v>859</v>
      </c>
      <c r="B2" s="8" t="s">
        <v>860</v>
      </c>
      <c r="C2" s="8" t="s">
        <v>856</v>
      </c>
      <c r="D2" s="8" t="s">
        <v>855</v>
      </c>
      <c r="E2" s="8" t="s">
        <v>857</v>
      </c>
      <c r="F2" s="9" t="s">
        <v>861</v>
      </c>
      <c r="G2" s="9" t="s">
        <v>862</v>
      </c>
      <c r="H2" s="9" t="s">
        <v>863</v>
      </c>
      <c r="I2" s="9" t="s">
        <v>864</v>
      </c>
      <c r="J2" s="9" t="s">
        <v>865</v>
      </c>
      <c r="K2" s="9" t="s">
        <v>866</v>
      </c>
      <c r="L2" s="9" t="s">
        <v>867</v>
      </c>
      <c r="M2" s="10" t="s">
        <v>868</v>
      </c>
      <c r="N2" s="10" t="s">
        <v>869</v>
      </c>
      <c r="O2" s="10" t="s">
        <v>870</v>
      </c>
      <c r="P2" s="10" t="s">
        <v>871</v>
      </c>
      <c r="Q2" s="11" t="s">
        <v>872</v>
      </c>
      <c r="R2" s="11" t="s">
        <v>873</v>
      </c>
      <c r="S2" t="str" cm="1">
        <f t="array" ref="S2:V116">_xlfn.LET(
  _xlpm.explode, _xlfn.LAMBDA(_xlpm.keys,_xlpm.liens,_xlpm.types,_xlpm.niveau,
    _xlfn.REDUCE(
      _xlfn.HSTACK("","","",""),
      _xlfn.SEQUENCE(ROWS(_xlpm.keys)),
      _xlfn.LAMBDA(_xlpm.acc,_xlpm.i,
        _xlfn.LET(
          _xlpm.k, INDEX(_xlpm.keys, _xlpm.i, 1),
          _xlpm.lRaw, INDEX(_xlpm.liens, _xlpm.i, 1),
          _xlpm.tRaw, INDEX(_xlpm.types, _xlpm.i, 1),
          IF(OR(_xlpm.k="", _xlpm.lRaw="", ISERROR(_xlpm.lRaw)),
            _xlpm.acc,
            _xlfn.LET(
              _xlpm.lArr, _xlfn.TEXTSPLIT(_xlpm.lRaw &amp; "", ";"),
              _xlpm.tArr, _xlfn.TEXTSPLIT(_xlpm.tRaw &amp; "", ";"),
              _xlpm.nL, COLUMNS(_xlpm.lArr),
              _xlpm.nT, COLUMNS(_xlpm.tArr),
              _xlpm.n, _xlpm.nL,
              _xlpm.block, _xlfn.MAKEARRAY(_xlpm.n, 4, _xlfn.LAMBDA(_xlpm.r,_xlpm.c,
                _xlfn.SWITCH(_xlpm.c,
                  1, _xlpm.k,
                  2, TRIM(INDEX(_xlpm.lArr, 1, _xlpm.r)),
                  3, IF(_xlpm.nT=1, TRIM(INDEX(_xlpm.tArr,1,1)),
                        IF(_xlpm.r&lt;=_xlpm.nT, TRIM(INDEX(_xlpm.tArr,1,_xlpm.r)), "")),
                  4, _xlpm.niveau
                )
              )),
              _xlfn.VSTACK(_xlpm.acc, _xlpm.block)
            )
          )
        )
      )
    )
  ),
  _xlpm.feat, _xlpm.explode(Table1[Résumé], Table1[Tickets liés.linkType], Table1[Sprint], "Feature"),
  _xlpm.us,   _xlpm.explode(US_Cleanés[Clé], US_Cleanés[Tickets liés], US_Cleanés[Tickets liés.linkType], "US"),
  _xlpm.all,  _xlfn.VSTACK(_xlpm.feat, _xlpm.us),
  _xlfn._xlws.FILTER(_xlpm.all, (INDEX(_xlpm.all,,1)&lt;&gt;"")*(INDEX(_xlpm.all,,2)&lt;&gt;""))
)</f>
        <v>[SELLIGENT] : Traitements AUXIA (Zip Contrats et Export AUXIA BDAP)</v>
      </c>
      <c r="T2" t="str">
        <v>est liée à</v>
      </c>
      <c r="U2" t="e">
        <v>#VALUE!</v>
      </c>
      <c r="V2" t="str">
        <v>Feature</v>
      </c>
    </row>
    <row r="3" spans="1:22" ht="29" x14ac:dyDescent="0.35">
      <c r="A3" t="e" cm="1">
        <f t="array" ref="A3">_xlfn.LET(
  _xlpm.raw,_xlfn.ANCHORARRAY( S2),
  _xlpm.src0,   INDEX(_xlpm.raw,,1),
  _xlpm.tgt0,   INDEX(_xlpm.raw,,2),
  _xlpm.typ0,   INDEX(_xlpm.raw,,3),
  _xlpm.niv0,   INDEX(_xlpm.raw,,4),
  _xlpm.typL,   LOWER(TRIM(_xlpm.typ0)),
  _xlpm.isBloc,   (_xlpm.typL="bloque"),
  _xlpm.isBlocPar,(_xlpm.typL="est bloquée par"),
  _xlpm.isLie,    (_xlpm.typL="lie")+(_xlpm.typL="est liée à")+(_xlpm.typL="relates to"),
  _xlpm.isImpl,   (_xlpm.typL="is implemented by"),
  _xlpm.keep,     _xlpm.isBloc + _xlpm.isBlocPar + _xlpm.isLie + _xlpm.isImpl,
  _xlpm.canon,    IF(_xlpm.isBloc+_xlpm.isBlocPar, "bloque", IF(_xlpm.isLie, "lié", IF(_xlpm.isImpl, "implémenté par", ""))),
  _xlpm.fKey, Table1[Résumé],
  _xlpm.uKey, US_Cleanés[Clé],
  _xlpm.inScope, _xlfn.LAMBDA(_xlpm.k, IF(_xlpm.k="", 0, IF(OR(COUNTIF(_xlpm.fKey,_xlpm.k)&gt;0, COUNTIF(_xlpm.uKey,_xlpm.k)&gt;0), 1, 0))),
  _xlpm.inS, _xlfn.BYROW(_xlpm.src0, _xlfn.LAMBDA(_xlpm.k, _xlpm.inScope(_xlpm.k))),
  _xlpm.inT, _xlfn.BYROW(_xlpm.tgt0, _xlfn.LAMBDA(_xlpm.k, _xlpm.inScope(_xlpm.k))),
  _xlpm.srcN, IF(_xlpm.isBlocPar, _xlpm.tgt0,
          IF(_xlpm.isLie,
            IF(_xlpm.inS=1,
              IF(_xlpm.inT=1, IF(_xlpm.src0&lt;_xlpm.tgt0, _xlpm.src0, _xlpm.tgt0), _xlpm.src0),
              IF(_xlpm.inT=1, _xlpm.tgt0, IF(_xlpm.src0&lt;_xlpm.tgt0, _xlpm.src0, _xlpm.tgt0))
            ),
            _xlpm.src0
          )
        ),
  _xlpm.tgtN, IF(_xlpm.isBlocPar, _xlpm.src0,
          IF(_xlpm.isLie,
            IF(_xlpm.inS=1,
              IF(_xlpm.inT=1, IF(_xlpm.src0&lt;_xlpm.tgt0, _xlpm.tgt0, _xlpm.src0), _xlpm.tgt0),
              IF(_xlpm.inT=1, _xlpm.src0, IF(_xlpm.src0&lt;_xlpm.tgt0, _xlpm.tgt0, _xlpm.src0))
            ),
            _xlpm.tgt0
          )
        ),
  _xlpm.keyCore, _xlfn.HSTACK(_xlpm.srcN, _xlpm.tgtN, _xlpm.niv0, _xlpm.canon),
  _xlpm.filt4,   _xlfn._xlws.FILTER(_xlpm.keyCore, _xlpm.keep=1, ""),
  _xlpm.filtTyp, _xlfn._xlws.FILTER(_xlpm.typ0, _xlpm.keep=1, ""),
  _xlpm.uniq4,   _xlfn.UNIQUE(_xlpm.filt4),
  _xlpm.typAgg, _xlfn.MAKEARRAY(ROWS(_xlpm.uniq4), 1, _xlfn.LAMBDA(_xlpm.i,_xlpm.c,
    _xlfn.LET(
      _xlpm.s, INDEX(_xlpm.uniq4,_xlpm.i,1), _xlpm.t, INDEX(_xlpm.uniq4,_xlpm.i,2),
      _xlpm.n, INDEX(_xlpm.uniq4,_xlpm.i,3), _xlpm.l, INDEX(_xlpm.uniq4,_xlpm.i,4),
      _xlpm.mask, (INDEX(_xlpm.filt4,,1)=_xlpm.s)*(INDEX(_xlpm.filt4,,2)=_xlpm.t)*(INDEX(_xlpm.filt4,,3)=_xlpm.n)*(INDEX(_xlpm.filt4,,4)=_xlpm.l),
      _xlpm.types, IFERROR(_xlfn.UNIQUE(_xlfn._xlws.FILTER(_xlpm.filtTyp, _xlpm.mask=1)), ""),
      _xlfn.TEXTJOIN(" / ", TRUE, _xlpm.types)
    )
  )),
  _xlfn.HSTACK(_xlpm.uniq4, _xlpm.typAgg)
)</f>
        <v>#VALUE!</v>
      </c>
      <c r="C3" s="5"/>
      <c r="D3" s="5"/>
      <c r="E3" s="5"/>
      <c r="F3" s="7" t="e" cm="1">
        <f t="array" ref="F3">_xlfn.LET(
  _xlpm.src, INDEX(_xlfn.ANCHORARRAY(A3),,1),
  _xlpm.tgt, INDEX(_xlfn.ANCHORARRAY(A3),,2),
  _xlpm.lien, INDEX(_xlfn.ANCHORARRAY(A3),,4),
  _xlpm.fKey, Table1[Résumé],
  _xlpm.fRes, Table1[Personne assignée],
  _xlpm.fEtat, Table1[Résolution],
  _xlpm.fAss, Table1[Rapporteur],
  _xlpm.fDue, Table1[Tickets liés.issueKey],
  _xlpm.fSpr, Table1[Incrément],
  _xlpm.fProj,Table1[Type de ticket],
  _xlpm.uKey, US_Cleanés[Clé],
  _xlpm.uRes, US_Cleanés[Résumé],
  _xlpm.uEtat,US_Cleanés[État],
  _xlpm.uAss, US_Cleanés[Personne assignée],
  _xlpm.uDue, US_Cleanés[Date d''échéance],
  _xlpm.uSpr, US_Cleanés[Sprint Courant],
  _xlpm.uProj,US_Cleanés[Projet],
  _xlpm.sqP, tblSquads[Projet],
  _xlpm.sqS, tblSquads[Squad],
  _xlpm.z, _xlfn.LAMBDA(_xlpm.v, IF(OR(_xlpm.v="",_xlpm.v=0), "", _xlpm.v)),
  _xlpm.lk, _xlfn.LAMBDA(_xlpm.k,_xlpm.colU,_xlpm.colF,
    IF(_xlpm.k="", "",
      IFERROR(_xlpm.z(_xlfn.XLOOKUP(_xlpm.k, _xlpm.uKey, _xlpm.colU, _xlfn.XLOOKUP(_xlpm.k, _xlpm.fKey, _xlpm.colF, ""))), "")
    )
  ),
  _xlpm.foundS, _xlfn.BYROW(_xlpm.src, _xlfn.LAMBDA(_xlpm.k, IF(_xlpm.k="",0, IF(OR(COUNTIF(_xlpm.uKey,_xlpm.k)&gt;0, COUNTIF(_xlpm.fKey,_xlpm.k)&gt;0), 1, 0)))),
  _xlpm.foundT, _xlfn.BYROW(_xlpm.tgt, _xlfn.LAMBDA(_xlpm.k, IF(_xlpm.k="",0, IF(OR(COUNTIF(_xlpm.uKey,_xlpm.k)&gt;0, COUNTIF(_xlpm.fKey,_xlpm.k)&gt;0), 1, 0)))),
  _xlpm.resS, _xlfn.BYROW(_xlpm.src, _xlfn.LAMBDA(_xlpm.k, _xlpm.lk(_xlpm.k, _xlpm.uRes, _xlpm.fRes))),
  _xlpm.etaS, _xlfn.BYROW(_xlpm.src, _xlfn.LAMBDA(_xlpm.k, _xlpm.lk(_xlpm.k, _xlpm.uEtat, _xlpm.fEtat))),
  _xlpm.assS, _xlfn.BYROW(_xlpm.src, _xlfn.LAMBDA(_xlpm.k, _xlpm.lk(_xlpm.k, _xlpm.uAss, _xlpm.fAss))),
  _xlpm.dueS, _xlfn.BYROW(_xlpm.src, _xlfn.LAMBDA(_xlpm.k, _xlpm.lk(_xlpm.k, _xlpm.uDue, _xlpm.fDue))),
  _xlpm.sprS, _xlfn.BYROW(_xlpm.src, _xlfn.LAMBDA(_xlpm.k, _xlpm.lk(_xlpm.k, _xlpm.uSpr, _xlpm.fSpr))),
  _xlpm.prjS, _xlfn.BYROW(_xlpm.src, _xlfn.LAMBDA(_xlpm.k, _xlpm.lk(_xlpm.k, _xlpm.uProj, _xlpm.fProj))),
  _xlpm.sqdS, _xlfn.BYROW(_xlpm.prjS, _xlfn.LAMBDA(_xlpm.p, IF(_xlpm.p="","",IFERROR(_xlfn.XLOOKUP(_xlpm.p, _xlpm.sqP, _xlpm.sqS, "EXTERNE"), "EXTERNE")))),
  _xlpm.resT, _xlfn.BYROW(_xlpm.tgt, _xlfn.LAMBDA(_xlpm.k, _xlpm.lk(_xlpm.k, _xlpm.uRes, _xlpm.fRes))),
  _xlpm.etaT, _xlfn.BYROW(_xlpm.tgt, _xlfn.LAMBDA(_xlpm.k, _xlpm.lk(_xlpm.k, _xlpm.uEtat, _xlpm.fEtat))),
  _xlpm.sprT, _xlfn.BYROW(_xlpm.tgt, _xlfn.LAMBDA(_xlpm.k, _xlpm.lk(_xlpm.k, _xlpm.uSpr, _xlpm.fSpr))),
  _xlpm.prjT, _xlfn.BYROW(_xlpm.tgt, _xlfn.LAMBDA(_xlpm.k, _xlpm.lk(_xlpm.k, _xlpm.uProj, _xlpm.fProj))),
  _xlpm.sqdT, _xlfn.BYROW(_xlpm.prjT, _xlfn.LAMBDA(_xlpm.p, IF(_xlpm.p="","",IFERROR(_xlfn.XLOOKUP(_xlpm.p, _xlpm.sqP, _xlpm.sqS, "EXTERNE"), "EXTERNE")))),
  _xlpm.sprNum, _xlfn.LAMBDA(_xlpm.s,
    IF(OR(_xlpm.s="", NOT(ISNUMBER(SEARCH(".",_xlpm.s&amp;"")))), -1,
      VALUE(_xlfn.TEXTBEFORE(_xlpm.s&amp;"",".")) * 100 + VALUE(_xlfn.TEXTAFTER(_xlpm.s&amp;"",".")))
  ),
  _xlpm.nS, _xlfn.BYROW(_xlpm.sprS, _xlfn.LAMBDA(_xlpm.s, _xlpm.sprNum(_xlpm.s&amp;""))),
  _xlpm.nT, _xlfn.BYROW(_xlpm.sprT, _xlfn.LAMBDA(_xlpm.s, _xlpm.sprNum(_xlpm.s&amp;""))),
  _xlpm.clos, _xlfn.LAMBDA(_xlpm.e, IF(OR(_xlpm.e="Fermée", _xlpm.e="Fermé", _xlpm.e="Abandonnée", _xlpm.e="Abandonné", _xlpm.e="Terminé", _xlpm.e="Terminée"), 1, 0)),
  _xlpm.clS, _xlfn.BYROW(_xlpm.etaS, _xlfn.LAMBDA(_xlpm.e, _xlpm.clos(_xlpm.e))),
  _xlpm.clT, _xlfn.BYROW(_xlpm.etaT, _xlfn.LAMBDA(_xlpm.e, _xlpm.clos(_xlpm.e))),
  _xlpm.impact, _xlfn.MAKEARRAY(ROWS(_xlpm.src), 1, _xlfn.LAMBDA(_xlpm.i,_xlpm.c,
    _xlfn.LET(
      _xlpm.fS, INDEX(_xlpm.foundS,_xlpm.i,1),
      _xlpm.fT, INDEX(_xlpm.foundT,_xlpm.i,1),
      _xlpm.ln, INDEX(_xlpm.lien,_xlpm.i,1),
      _xlpm.cS, INDEX(_xlpm.clS,_xlpm.i,1),
      _xlpm.cT, INDEX(_xlpm.clT,_xlpm.i,1),
      _xlpm.nnS, INDEX(_xlpm.nS,_xlpm.i,1),
      _xlpm.nnT, INDEX(_xlpm.nT,_xlpm.i,1),
      _xlfn.IFS(
        AND(_xlpm.fS=0, _xlpm.fT=0), "Hors PI24",
        _xlpm.fS=0, "Source hors PI24",
        _xlpm.fT=0, "Cible hors PI24",
        AND(_xlpm.cS=1, _xlpm.cT=1), "Résolu",
        AND(_xlpm.ln="bloque", _xlpm.nnS&gt;=0, _xlpm.nnT&gt;=0, _xlpm.nnS&gt;_xlpm.nnT), "RISQUE",
        AND(_xlpm.ln="bloque", _xlpm.nnS&gt;=0, _xlpm.nnT&gt;=0, _xlpm.nnS=_xlpm.nnT), "TENDU",
        AND(_xlpm.ln="bloque", _xlpm.nnS&gt;=0, _xlpm.nnT&gt;=0, _xlpm.nnS&lt;_xlpm.nnT), "OK",
        TRUE, "À analyser"
      )
    )
  )),
  _xlpm.interSq, _xlfn.BYROW(
    _xlfn.HSTACK(_xlpm.sqdS, _xlpm.sqdT),
    _xlfn.LAMBDA(_xlpm.row,
      _xlfn.LET(_xlpm.a, INDEX(_xlpm.row,1,1), _xlpm.b, INDEX(_xlpm.row,1,2),
        IF(OR(_xlpm.a="", _xlpm.b=""), "", IF(_xlpm.a&lt;&gt;_xlpm.b, "OUI", "NON")))
    )
  ),
  _xlfn.HSTACK(_xlpm.resS, _xlpm.etaS, _xlpm.assS, _xlpm.dueS, _xlpm.sprS, _xlpm.prjS, _xlpm.sqdS, _xlpm.resT, _xlpm.etaT, _xlpm.sprT, _xlpm.sqdT, _xlpm.impact, _xlpm.interSq)
)</f>
        <v>#REF!</v>
      </c>
      <c r="G3" s="5"/>
      <c r="I3" s="6"/>
      <c r="J3" s="5"/>
      <c r="L3" s="5"/>
      <c r="M3" s="7"/>
      <c r="N3" s="5"/>
      <c r="O3" s="5"/>
      <c r="P3" s="5"/>
      <c r="Q3" s="5"/>
      <c r="R3" s="5"/>
      <c r="S3" t="str">
        <v>[SELFCARE] Actions : Gérer les actions de relances dans Pulse</v>
      </c>
      <c r="T3" t="str">
        <v>est liée à</v>
      </c>
      <c r="U3" t="e">
        <v>#VALUE!</v>
      </c>
      <c r="V3" t="str">
        <v>Feature</v>
      </c>
    </row>
    <row r="4" spans="1:22" ht="29" x14ac:dyDescent="0.35">
      <c r="C4" s="5"/>
      <c r="D4" s="5"/>
      <c r="E4" s="5"/>
      <c r="F4" s="7"/>
      <c r="G4" s="5"/>
      <c r="I4" s="6"/>
      <c r="J4" s="5"/>
      <c r="L4" s="5"/>
      <c r="M4" s="7"/>
      <c r="N4" s="5"/>
      <c r="O4" s="5"/>
      <c r="P4" s="5"/>
      <c r="Q4" s="5"/>
      <c r="R4" s="5"/>
      <c r="S4" t="str">
        <v>✏️ Conception - Branchement comparateurs</v>
      </c>
      <c r="T4" t="str">
        <v>clone</v>
      </c>
      <c r="U4" t="e">
        <v>#VALUE!</v>
      </c>
      <c r="V4" t="str">
        <v>Feature</v>
      </c>
    </row>
    <row r="5" spans="1:22" ht="29" x14ac:dyDescent="0.35">
      <c r="C5" s="5"/>
      <c r="D5" s="5"/>
      <c r="E5" s="5"/>
      <c r="F5" s="7"/>
      <c r="G5" s="5"/>
      <c r="I5" s="6"/>
      <c r="J5" s="5"/>
      <c r="L5" s="5"/>
      <c r="M5" s="7"/>
      <c r="N5" s="5"/>
      <c r="O5" s="5"/>
      <c r="P5" s="5"/>
      <c r="Q5" s="5"/>
      <c r="R5" s="5"/>
      <c r="S5" t="str">
        <v>[Backoffice] Migration de PrimeNG vers le Design System MH</v>
      </c>
      <c r="T5" t="str">
        <v>lie</v>
      </c>
      <c r="U5" t="e">
        <v>#VALUE!</v>
      </c>
      <c r="V5" t="str">
        <v>Feature</v>
      </c>
    </row>
    <row r="6" spans="1:22" ht="29" x14ac:dyDescent="0.35">
      <c r="C6" s="5"/>
      <c r="D6" s="5"/>
      <c r="E6" s="5"/>
      <c r="F6" s="7"/>
      <c r="G6" s="5"/>
      <c r="I6" s="6"/>
      <c r="J6" s="5"/>
      <c r="L6" s="5"/>
      <c r="M6" s="7"/>
      <c r="N6" s="5"/>
      <c r="O6" s="5"/>
      <c r="P6" s="5"/>
      <c r="Q6" s="5"/>
      <c r="R6" s="5"/>
      <c r="S6" t="str">
        <v>[Backoffice] Migration de PrimeNG vers le Design System MH</v>
      </c>
      <c r="T6" t="str">
        <v>bloque</v>
      </c>
      <c r="U6" t="e">
        <v>#VALUE!</v>
      </c>
      <c r="V6" t="str">
        <v>Feature</v>
      </c>
    </row>
    <row r="7" spans="1:22" ht="29" x14ac:dyDescent="0.35">
      <c r="C7" s="5"/>
      <c r="D7" s="5"/>
      <c r="E7" s="5"/>
      <c r="F7" s="7"/>
      <c r="G7" s="5"/>
      <c r="I7" s="6"/>
      <c r="J7" s="5"/>
      <c r="L7" s="5"/>
      <c r="M7" s="7"/>
      <c r="N7" s="5"/>
      <c r="O7" s="5"/>
      <c r="P7" s="5"/>
      <c r="Q7" s="5"/>
      <c r="R7" s="5"/>
      <c r="S7" t="str">
        <v>RBOP-6749</v>
      </c>
      <c r="T7" t="str">
        <v>RBOP-6733</v>
      </c>
      <c r="U7" t="str">
        <v>est liée à</v>
      </c>
      <c r="V7" t="str">
        <v>US</v>
      </c>
    </row>
    <row r="8" spans="1:22" ht="43.5" x14ac:dyDescent="0.35">
      <c r="C8" s="5"/>
      <c r="D8" s="5"/>
      <c r="E8" s="5"/>
      <c r="F8" s="7"/>
      <c r="G8" s="5"/>
      <c r="I8" s="6"/>
      <c r="J8" s="5"/>
      <c r="L8" s="5"/>
      <c r="M8" s="7"/>
      <c r="N8" s="5"/>
      <c r="O8" s="5"/>
      <c r="P8" s="5"/>
      <c r="Q8" s="5"/>
      <c r="R8" s="5"/>
      <c r="S8" t="str">
        <v>RBOP-6749</v>
      </c>
      <c r="T8" t="str">
        <v>RBOP-6733</v>
      </c>
      <c r="U8" t="str">
        <v>lie</v>
      </c>
      <c r="V8" t="str">
        <v>US</v>
      </c>
    </row>
    <row r="9" spans="1:22" ht="43.5" x14ac:dyDescent="0.35">
      <c r="C9" s="5"/>
      <c r="D9" s="5"/>
      <c r="E9" s="5"/>
      <c r="F9" s="7"/>
      <c r="G9" s="5"/>
      <c r="I9" s="6"/>
      <c r="J9" s="5"/>
      <c r="L9" s="5"/>
      <c r="M9" s="7"/>
      <c r="N9" s="5"/>
      <c r="O9" s="5"/>
      <c r="P9" s="5"/>
      <c r="Q9" s="5"/>
      <c r="R9" s="5"/>
      <c r="S9" t="str">
        <v>RBOP-6733</v>
      </c>
      <c r="T9" t="str">
        <v>RBOP-6749</v>
      </c>
      <c r="U9" t="str">
        <v>lie</v>
      </c>
      <c r="V9" t="str">
        <v>US</v>
      </c>
    </row>
    <row r="10" spans="1:22" ht="29" x14ac:dyDescent="0.35">
      <c r="C10" s="5"/>
      <c r="D10" s="5"/>
      <c r="E10" s="5"/>
      <c r="F10" s="7"/>
      <c r="G10" s="5"/>
      <c r="I10" s="6"/>
      <c r="J10" s="5"/>
      <c r="L10" s="5"/>
      <c r="M10" s="7"/>
      <c r="N10" s="5"/>
      <c r="O10" s="5"/>
      <c r="P10" s="5"/>
      <c r="Q10" s="5"/>
      <c r="R10" s="5"/>
      <c r="S10" t="str">
        <v>RBOP-6733</v>
      </c>
      <c r="T10" t="str">
        <v>RBOP-6749</v>
      </c>
      <c r="U10" t="str">
        <v>est liée à</v>
      </c>
      <c r="V10" t="str">
        <v>US</v>
      </c>
    </row>
    <row r="11" spans="1:22" ht="29" x14ac:dyDescent="0.35">
      <c r="C11" s="5"/>
      <c r="D11" s="5"/>
      <c r="E11" s="5"/>
      <c r="F11" s="7"/>
      <c r="G11" s="5"/>
      <c r="I11" s="6"/>
      <c r="J11" s="5"/>
      <c r="L11" s="5"/>
      <c r="M11" s="7"/>
      <c r="N11" s="5"/>
      <c r="O11" s="5"/>
      <c r="P11" s="5"/>
      <c r="Q11" s="5"/>
      <c r="R11" s="5"/>
      <c r="S11" t="str">
        <v>RBOP-6684</v>
      </c>
      <c r="T11" t="str">
        <v>RBOP-6752</v>
      </c>
      <c r="U11" t="str">
        <v>lie</v>
      </c>
      <c r="V11" t="str">
        <v>US</v>
      </c>
    </row>
    <row r="12" spans="1:22" ht="29" x14ac:dyDescent="0.35">
      <c r="C12" s="5"/>
      <c r="D12" s="5"/>
      <c r="E12" s="5"/>
      <c r="F12" s="7"/>
      <c r="G12" s="5"/>
      <c r="I12" s="6"/>
      <c r="J12" s="5"/>
      <c r="L12" s="5"/>
      <c r="M12" s="7"/>
      <c r="N12" s="5"/>
      <c r="O12" s="5"/>
      <c r="P12" s="5"/>
      <c r="Q12" s="5"/>
      <c r="R12" s="5"/>
      <c r="S12" t="str">
        <v>RBOP-6301</v>
      </c>
      <c r="T12" t="str">
        <v>RBOP-6541</v>
      </c>
      <c r="U12" t="str">
        <v>est bloquée par</v>
      </c>
      <c r="V12" t="str">
        <v>US</v>
      </c>
    </row>
    <row r="13" spans="1:22" ht="29" x14ac:dyDescent="0.35">
      <c r="C13" s="5"/>
      <c r="D13" s="5"/>
      <c r="E13" s="5"/>
      <c r="F13" s="7"/>
      <c r="G13" s="5"/>
      <c r="I13" s="6"/>
      <c r="J13" s="5"/>
      <c r="L13" s="5"/>
      <c r="M13" s="7"/>
      <c r="N13" s="5"/>
      <c r="O13" s="5"/>
      <c r="P13" s="5"/>
      <c r="Q13" s="5"/>
      <c r="R13" s="5"/>
      <c r="S13" t="str">
        <v>RBOP-6289</v>
      </c>
      <c r="T13" t="str">
        <v>RBOP-6267</v>
      </c>
      <c r="U13" t="str">
        <v>est liée à</v>
      </c>
      <c r="V13" t="str">
        <v>US</v>
      </c>
    </row>
    <row r="14" spans="1:22" ht="29" x14ac:dyDescent="0.35">
      <c r="C14" s="5"/>
      <c r="D14" s="5"/>
      <c r="E14" s="5"/>
      <c r="F14" s="7"/>
      <c r="G14" s="5"/>
      <c r="I14" s="6"/>
      <c r="J14" s="5"/>
      <c r="L14" s="5"/>
      <c r="M14" s="7"/>
      <c r="N14" s="5"/>
      <c r="O14" s="5"/>
      <c r="P14" s="5"/>
      <c r="Q14" s="5"/>
      <c r="R14" s="5"/>
      <c r="S14" t="str">
        <v>RBOP-6289</v>
      </c>
      <c r="T14" t="str">
        <v>RBOP-6543</v>
      </c>
      <c r="U14" t="str">
        <v>est liée à</v>
      </c>
      <c r="V14" t="str">
        <v>US</v>
      </c>
    </row>
    <row r="15" spans="1:22" ht="29" x14ac:dyDescent="0.35">
      <c r="C15" s="5"/>
      <c r="D15" s="5"/>
      <c r="E15" s="5"/>
      <c r="F15" s="7"/>
      <c r="G15" s="5"/>
      <c r="I15" s="6"/>
      <c r="J15" s="5"/>
      <c r="L15" s="5"/>
      <c r="M15" s="7"/>
      <c r="N15" s="5"/>
      <c r="O15" s="5"/>
      <c r="P15" s="5"/>
      <c r="Q15" s="5"/>
      <c r="R15" s="5"/>
      <c r="S15" t="str">
        <v>RBOP-6289</v>
      </c>
      <c r="T15" t="str">
        <v>RBOP-6544</v>
      </c>
      <c r="U15" t="str">
        <v>est liée à</v>
      </c>
      <c r="V15" t="str">
        <v>US</v>
      </c>
    </row>
    <row r="16" spans="1:22" ht="29" x14ac:dyDescent="0.35">
      <c r="C16" s="5"/>
      <c r="D16" s="5"/>
      <c r="E16" s="5"/>
      <c r="F16" s="7"/>
      <c r="G16" s="5"/>
      <c r="I16" s="6"/>
      <c r="J16" s="5"/>
      <c r="L16" s="5"/>
      <c r="M16" s="7"/>
      <c r="N16" s="5"/>
      <c r="O16" s="5"/>
      <c r="P16" s="5"/>
      <c r="Q16" s="5"/>
      <c r="R16" s="5"/>
      <c r="S16" t="str">
        <v>RBOP-6255</v>
      </c>
      <c r="T16" t="str">
        <v>RBOP-6252</v>
      </c>
      <c r="U16" t="str">
        <v>lie</v>
      </c>
      <c r="V16" t="str">
        <v>US</v>
      </c>
    </row>
    <row r="17" spans="3:22" ht="29" x14ac:dyDescent="0.35">
      <c r="C17" s="5"/>
      <c r="D17" s="5"/>
      <c r="E17" s="5"/>
      <c r="F17" s="7"/>
      <c r="G17" s="5"/>
      <c r="I17" s="6"/>
      <c r="J17" s="5"/>
      <c r="L17" s="5"/>
      <c r="M17" s="7"/>
      <c r="N17" s="5"/>
      <c r="O17" s="5"/>
      <c r="P17" s="5"/>
      <c r="Q17" s="5"/>
      <c r="R17" s="5"/>
      <c r="S17" t="str">
        <v>PVP-3043</v>
      </c>
      <c r="T17" t="str">
        <v>PVP-3045</v>
      </c>
      <c r="U17" t="str">
        <v>is implemented by</v>
      </c>
      <c r="V17" t="str">
        <v>US</v>
      </c>
    </row>
    <row r="18" spans="3:22" ht="29" x14ac:dyDescent="0.35">
      <c r="C18" s="5"/>
      <c r="D18" s="5"/>
      <c r="E18" s="5"/>
      <c r="F18" s="7"/>
      <c r="G18" s="5"/>
      <c r="I18" s="6"/>
      <c r="J18" s="5"/>
      <c r="L18" s="5"/>
      <c r="M18" s="7"/>
      <c r="N18" s="5"/>
      <c r="O18" s="5"/>
      <c r="P18" s="5"/>
      <c r="Q18" s="5"/>
      <c r="R18" s="5"/>
      <c r="S18" t="str">
        <v>PVP-2778</v>
      </c>
      <c r="T18" t="str">
        <v>PVP-2781</v>
      </c>
      <c r="U18" t="str">
        <v>created by</v>
      </c>
      <c r="V18" t="str">
        <v>US</v>
      </c>
    </row>
    <row r="19" spans="3:22" ht="29" x14ac:dyDescent="0.35">
      <c r="C19" s="5"/>
      <c r="D19" s="5"/>
      <c r="E19" s="5"/>
      <c r="F19" s="7"/>
      <c r="G19" s="5"/>
      <c r="I19" s="6"/>
      <c r="J19" s="5"/>
      <c r="L19" s="5"/>
      <c r="M19" s="7"/>
      <c r="N19" s="5"/>
      <c r="O19" s="5"/>
      <c r="P19" s="5"/>
      <c r="Q19" s="5"/>
      <c r="R19" s="5"/>
      <c r="S19" t="str">
        <v>PVP-2778</v>
      </c>
      <c r="T19" t="str">
        <v>DESIGN-1793</v>
      </c>
      <c r="U19" t="str">
        <v>est liée à</v>
      </c>
      <c r="V19" t="str">
        <v>US</v>
      </c>
    </row>
    <row r="20" spans="3:22" ht="43.5" x14ac:dyDescent="0.35">
      <c r="C20" s="5"/>
      <c r="D20" s="5"/>
      <c r="E20" s="5"/>
      <c r="F20" s="7"/>
      <c r="G20" s="5"/>
      <c r="I20" s="6"/>
      <c r="J20" s="5"/>
      <c r="L20" s="5"/>
      <c r="M20" s="7"/>
      <c r="N20" s="5"/>
      <c r="O20" s="5"/>
      <c r="P20" s="5"/>
      <c r="Q20" s="5"/>
      <c r="R20" s="5"/>
      <c r="S20" t="str">
        <v>PVP-2715</v>
      </c>
      <c r="T20" t="str">
        <v>PVP-2623</v>
      </c>
      <c r="U20" t="str">
        <v>est causée par</v>
      </c>
      <c r="V20" t="str">
        <v>US</v>
      </c>
    </row>
    <row r="21" spans="3:22" ht="29" x14ac:dyDescent="0.35">
      <c r="C21" s="5"/>
      <c r="D21" s="5"/>
      <c r="E21" s="5"/>
      <c r="F21" s="7"/>
      <c r="G21" s="5"/>
      <c r="I21" s="6"/>
      <c r="J21" s="5"/>
      <c r="L21" s="5"/>
      <c r="M21" s="7"/>
      <c r="N21" s="5"/>
      <c r="O21" s="5"/>
      <c r="P21" s="5"/>
      <c r="Q21" s="5"/>
      <c r="R21" s="5"/>
      <c r="S21" t="str">
        <v>PVP-2619</v>
      </c>
      <c r="T21" t="str">
        <v>PVP-2616</v>
      </c>
      <c r="U21" t="str">
        <v>est bloquée par</v>
      </c>
      <c r="V21" t="str">
        <v>US</v>
      </c>
    </row>
    <row r="22" spans="3:22" ht="29" x14ac:dyDescent="0.35">
      <c r="C22" s="5"/>
      <c r="D22" s="5"/>
      <c r="E22" s="5"/>
      <c r="F22" s="7"/>
      <c r="G22" s="5"/>
      <c r="I22" s="6"/>
      <c r="J22" s="5"/>
      <c r="L22" s="5"/>
      <c r="M22" s="7"/>
      <c r="N22" s="5"/>
      <c r="O22" s="5"/>
      <c r="P22" s="5"/>
      <c r="Q22" s="5"/>
      <c r="R22" s="5"/>
      <c r="S22" t="str">
        <v>PVP-2617</v>
      </c>
      <c r="T22" t="str">
        <v>PVP-3045</v>
      </c>
      <c r="U22" t="str">
        <v>lie</v>
      </c>
      <c r="V22" t="str">
        <v>US</v>
      </c>
    </row>
    <row r="23" spans="3:22" x14ac:dyDescent="0.35">
      <c r="C23" s="5"/>
      <c r="D23" s="5"/>
      <c r="E23" s="5"/>
      <c r="F23" s="7"/>
      <c r="G23" s="5"/>
      <c r="I23" s="6"/>
      <c r="J23" s="5"/>
      <c r="L23" s="5"/>
      <c r="M23" s="7"/>
      <c r="N23" s="5"/>
      <c r="O23" s="5"/>
      <c r="P23" s="5"/>
      <c r="Q23" s="5"/>
      <c r="R23" s="5"/>
      <c r="S23" t="str">
        <v>PVP-2616</v>
      </c>
      <c r="T23" t="str">
        <v>PVP-2619</v>
      </c>
      <c r="U23" t="str">
        <v>bloque</v>
      </c>
      <c r="V23" t="str">
        <v>US</v>
      </c>
    </row>
    <row r="24" spans="3:22" x14ac:dyDescent="0.35">
      <c r="C24" s="5"/>
      <c r="D24" s="5"/>
      <c r="E24" s="5"/>
      <c r="F24" s="7"/>
      <c r="G24" s="5"/>
      <c r="I24" s="6"/>
      <c r="J24" s="5"/>
      <c r="L24" s="5"/>
      <c r="M24" s="7"/>
      <c r="N24" s="5"/>
      <c r="O24" s="5"/>
      <c r="P24" s="5"/>
      <c r="Q24" s="5"/>
      <c r="R24" s="5"/>
      <c r="S24" t="str">
        <v>PVP-2613</v>
      </c>
      <c r="T24" t="str">
        <v>PVP-2618</v>
      </c>
      <c r="U24" t="str">
        <v>est bloquée par</v>
      </c>
      <c r="V24" t="str">
        <v>US</v>
      </c>
    </row>
    <row r="25" spans="3:22" ht="29" x14ac:dyDescent="0.35">
      <c r="C25" s="5"/>
      <c r="D25" s="5"/>
      <c r="E25" s="5"/>
      <c r="F25" s="7"/>
      <c r="G25" s="5"/>
      <c r="I25" s="6"/>
      <c r="J25" s="5"/>
      <c r="L25" s="5"/>
      <c r="M25" s="7"/>
      <c r="N25" s="5"/>
      <c r="O25" s="5"/>
      <c r="P25" s="5"/>
      <c r="Q25" s="5"/>
      <c r="R25" s="5"/>
      <c r="S25" t="str">
        <v>PVP-2613</v>
      </c>
      <c r="T25" t="str">
        <v>PVP-2614</v>
      </c>
      <c r="U25" t="str">
        <v>est bloquée par</v>
      </c>
      <c r="V25" t="str">
        <v>US</v>
      </c>
    </row>
    <row r="26" spans="3:22" x14ac:dyDescent="0.35">
      <c r="C26" s="5"/>
      <c r="D26" s="5"/>
      <c r="E26" s="5"/>
      <c r="F26" s="7"/>
      <c r="G26" s="5"/>
      <c r="I26" s="6"/>
      <c r="J26" s="5"/>
      <c r="L26" s="5"/>
      <c r="M26" s="7"/>
      <c r="N26" s="5"/>
      <c r="O26" s="5"/>
      <c r="P26" s="5"/>
      <c r="Q26" s="5"/>
      <c r="R26" s="5"/>
      <c r="S26" t="str">
        <v>PVP-2590</v>
      </c>
      <c r="T26" t="str">
        <v>PVP-2544</v>
      </c>
      <c r="U26" t="str">
        <v>created by</v>
      </c>
      <c r="V26" t="str">
        <v>US</v>
      </c>
    </row>
    <row r="27" spans="3:22" x14ac:dyDescent="0.35">
      <c r="C27" s="5"/>
      <c r="D27" s="5"/>
      <c r="E27" s="5"/>
      <c r="F27" s="7"/>
      <c r="G27" s="5"/>
      <c r="I27" s="6"/>
      <c r="J27" s="5"/>
      <c r="L27" s="5"/>
      <c r="M27" s="7"/>
      <c r="N27" s="5"/>
      <c r="O27" s="5"/>
      <c r="P27" s="5"/>
      <c r="Q27" s="5"/>
      <c r="R27" s="5"/>
      <c r="S27" t="str">
        <v>PVP-2586</v>
      </c>
      <c r="T27" t="str">
        <v>DESIGN-1792</v>
      </c>
      <c r="U27" t="str">
        <v>lie</v>
      </c>
      <c r="V27" t="str">
        <v>US</v>
      </c>
    </row>
    <row r="28" spans="3:22" ht="29" x14ac:dyDescent="0.35">
      <c r="C28" s="5"/>
      <c r="D28" s="5"/>
      <c r="E28" s="5"/>
      <c r="F28" s="7"/>
      <c r="G28" s="5"/>
      <c r="I28" s="6"/>
      <c r="J28" s="5"/>
      <c r="L28" s="5"/>
      <c r="M28" s="7"/>
      <c r="N28" s="5"/>
      <c r="O28" s="5"/>
      <c r="P28" s="5"/>
      <c r="Q28" s="5"/>
      <c r="R28" s="5"/>
      <c r="S28" t="str">
        <v>NXT-8546</v>
      </c>
      <c r="T28" t="str">
        <v>NXT-8277</v>
      </c>
      <c r="U28" t="str">
        <v>est liée à</v>
      </c>
      <c r="V28" t="str">
        <v>US</v>
      </c>
    </row>
    <row r="29" spans="3:22" ht="29" x14ac:dyDescent="0.35">
      <c r="C29" s="5"/>
      <c r="D29" s="5"/>
      <c r="E29" s="5"/>
      <c r="F29" s="7"/>
      <c r="G29" s="5"/>
      <c r="I29" s="6"/>
      <c r="J29" s="5"/>
      <c r="L29" s="5"/>
      <c r="M29" s="7"/>
      <c r="N29" s="5"/>
      <c r="O29" s="5"/>
      <c r="P29" s="5"/>
      <c r="Q29" s="5"/>
      <c r="R29" s="5"/>
      <c r="S29" t="str">
        <v>NXT-8546</v>
      </c>
      <c r="T29" t="str">
        <v>NXT-6983</v>
      </c>
      <c r="U29" t="str">
        <v>est liée à</v>
      </c>
      <c r="V29" t="str">
        <v>US</v>
      </c>
    </row>
    <row r="30" spans="3:22" ht="29" x14ac:dyDescent="0.35">
      <c r="C30" s="5"/>
      <c r="D30" s="5"/>
      <c r="E30" s="5"/>
      <c r="F30" s="7"/>
      <c r="G30" s="5"/>
      <c r="I30" s="6"/>
      <c r="J30" s="5"/>
      <c r="L30" s="5"/>
      <c r="M30" s="7"/>
      <c r="N30" s="5"/>
      <c r="O30" s="5"/>
      <c r="P30" s="5"/>
      <c r="Q30" s="5"/>
      <c r="R30" s="5"/>
      <c r="S30" t="str">
        <v>NXT-8515</v>
      </c>
      <c r="T30" t="str">
        <v>NXT-8464</v>
      </c>
      <c r="U30" t="str">
        <v>est liée à</v>
      </c>
      <c r="V30" t="str">
        <v>US</v>
      </c>
    </row>
    <row r="31" spans="3:22" ht="29" x14ac:dyDescent="0.35">
      <c r="C31" s="5"/>
      <c r="D31" s="5"/>
      <c r="E31" s="5"/>
      <c r="F31" s="7"/>
      <c r="G31" s="5"/>
      <c r="I31" s="6"/>
      <c r="J31" s="5"/>
      <c r="L31" s="5"/>
      <c r="M31" s="7"/>
      <c r="N31" s="5"/>
      <c r="O31" s="5"/>
      <c r="P31" s="5"/>
      <c r="Q31" s="5"/>
      <c r="R31" s="5"/>
      <c r="S31" t="str">
        <v>NXT-8511</v>
      </c>
      <c r="T31" t="str">
        <v>NXT-8540</v>
      </c>
      <c r="U31" t="str">
        <v>lie</v>
      </c>
      <c r="V31" t="str">
        <v>US</v>
      </c>
    </row>
    <row r="32" spans="3:22" ht="29" x14ac:dyDescent="0.35">
      <c r="C32" s="5"/>
      <c r="D32" s="5"/>
      <c r="E32" s="5"/>
      <c r="F32" s="7"/>
      <c r="G32" s="5"/>
      <c r="I32" s="6"/>
      <c r="J32" s="5"/>
      <c r="L32" s="5"/>
      <c r="M32" s="7"/>
      <c r="N32" s="5"/>
      <c r="O32" s="5"/>
      <c r="P32" s="5"/>
      <c r="Q32" s="5"/>
      <c r="R32" s="5"/>
      <c r="S32" t="str">
        <v>NXT-8497</v>
      </c>
      <c r="T32" t="str">
        <v>NXT-7944</v>
      </c>
      <c r="U32" t="str">
        <v>lie</v>
      </c>
      <c r="V32" t="str">
        <v>US</v>
      </c>
    </row>
    <row r="33" spans="3:22" x14ac:dyDescent="0.35">
      <c r="C33" s="5"/>
      <c r="D33" s="5"/>
      <c r="E33" s="5"/>
      <c r="F33" s="7"/>
      <c r="G33" s="5"/>
      <c r="I33" s="6"/>
      <c r="J33" s="5"/>
      <c r="L33" s="5"/>
      <c r="M33" s="7"/>
      <c r="N33" s="5"/>
      <c r="O33" s="5"/>
      <c r="P33" s="5"/>
      <c r="Q33" s="5"/>
      <c r="R33" s="5"/>
      <c r="S33" t="str">
        <v>NXT-8444</v>
      </c>
      <c r="T33" t="str">
        <v>NXT-8026</v>
      </c>
      <c r="U33" t="str">
        <v>est liée à</v>
      </c>
      <c r="V33" t="str">
        <v>US</v>
      </c>
    </row>
    <row r="34" spans="3:22" x14ac:dyDescent="0.35">
      <c r="C34" s="5"/>
      <c r="D34" s="5"/>
      <c r="E34" s="5"/>
      <c r="F34" s="7"/>
      <c r="G34" s="5"/>
      <c r="I34" s="6"/>
      <c r="J34" s="5"/>
      <c r="L34" s="5"/>
      <c r="M34" s="7"/>
      <c r="N34" s="5"/>
      <c r="O34" s="5"/>
      <c r="P34" s="5"/>
      <c r="Q34" s="5"/>
      <c r="R34" s="5"/>
      <c r="S34" t="str">
        <v>NXT-8401</v>
      </c>
      <c r="T34" t="str">
        <v>NXT-8441</v>
      </c>
      <c r="U34" t="str">
        <v>est bloquée par</v>
      </c>
      <c r="V34" t="str">
        <v>US</v>
      </c>
    </row>
    <row r="35" spans="3:22" x14ac:dyDescent="0.35">
      <c r="C35" s="5"/>
      <c r="D35" s="5"/>
      <c r="E35" s="5"/>
      <c r="F35" s="7"/>
      <c r="G35" s="5"/>
      <c r="I35" s="6"/>
      <c r="J35" s="5"/>
      <c r="L35" s="5"/>
      <c r="M35" s="7"/>
      <c r="N35" s="5"/>
      <c r="O35" s="5"/>
      <c r="P35" s="5"/>
      <c r="Q35" s="5"/>
      <c r="R35" s="5"/>
      <c r="S35" t="str">
        <v>NXT-8400</v>
      </c>
      <c r="T35" t="str">
        <v>NXT-8407</v>
      </c>
      <c r="U35" t="str">
        <v>est bloquée par</v>
      </c>
      <c r="V35" t="str">
        <v>US</v>
      </c>
    </row>
    <row r="36" spans="3:22" x14ac:dyDescent="0.35">
      <c r="C36" s="5"/>
      <c r="D36" s="5"/>
      <c r="E36" s="5"/>
      <c r="F36" s="7"/>
      <c r="G36" s="5"/>
      <c r="I36" s="6"/>
      <c r="J36" s="5"/>
      <c r="L36" s="5"/>
      <c r="M36" s="7"/>
      <c r="N36" s="5"/>
      <c r="O36" s="5"/>
      <c r="P36" s="5"/>
      <c r="Q36" s="5"/>
      <c r="R36" s="5"/>
      <c r="S36" t="str">
        <v>NXT-8400</v>
      </c>
      <c r="T36" t="str">
        <v>NXT-8419</v>
      </c>
      <c r="U36" t="str">
        <v>est bloquée par</v>
      </c>
      <c r="V36" t="str">
        <v>US</v>
      </c>
    </row>
    <row r="37" spans="3:22" x14ac:dyDescent="0.35">
      <c r="C37" s="5"/>
      <c r="D37" s="5"/>
      <c r="E37" s="5"/>
      <c r="F37" s="7"/>
      <c r="G37" s="5"/>
      <c r="I37" s="6"/>
      <c r="J37" s="5"/>
      <c r="L37" s="5"/>
      <c r="M37" s="7"/>
      <c r="N37" s="5"/>
      <c r="O37" s="5"/>
      <c r="P37" s="5"/>
      <c r="Q37" s="5"/>
      <c r="R37" s="5"/>
      <c r="S37" t="str">
        <v>NXT-8400</v>
      </c>
      <c r="T37" t="str">
        <v>NXT-8405</v>
      </c>
      <c r="U37" t="str">
        <v>bloque</v>
      </c>
      <c r="V37" t="str">
        <v>US</v>
      </c>
    </row>
    <row r="38" spans="3:22" x14ac:dyDescent="0.35">
      <c r="C38" s="5"/>
      <c r="D38" s="5"/>
      <c r="E38" s="5"/>
      <c r="F38" s="7"/>
      <c r="G38" s="5"/>
      <c r="I38" s="6"/>
      <c r="J38" s="5"/>
      <c r="L38" s="5"/>
      <c r="M38" s="7"/>
      <c r="N38" s="5"/>
      <c r="O38" s="5"/>
      <c r="P38" s="5"/>
      <c r="Q38" s="5"/>
      <c r="R38" s="5"/>
      <c r="S38" t="str">
        <v>NXT-8400</v>
      </c>
      <c r="T38" t="str">
        <v>NXT-8404</v>
      </c>
      <c r="U38" t="str">
        <v>bloque</v>
      </c>
      <c r="V38" t="str">
        <v>US</v>
      </c>
    </row>
    <row r="39" spans="3:22" x14ac:dyDescent="0.35">
      <c r="C39" s="5"/>
      <c r="D39" s="5"/>
      <c r="E39" s="5"/>
      <c r="F39" s="7"/>
      <c r="G39" s="5"/>
      <c r="I39" s="6"/>
      <c r="J39" s="5"/>
      <c r="L39" s="5"/>
      <c r="M39" s="7"/>
      <c r="N39" s="5"/>
      <c r="O39" s="5"/>
      <c r="P39" s="5"/>
      <c r="Q39" s="5"/>
      <c r="R39" s="5"/>
      <c r="S39" t="str">
        <v>NXT-8400</v>
      </c>
      <c r="T39" t="str">
        <v>NXT-8403</v>
      </c>
      <c r="U39" t="str">
        <v>bloque</v>
      </c>
      <c r="V39" t="str">
        <v>US</v>
      </c>
    </row>
    <row r="40" spans="3:22" x14ac:dyDescent="0.35">
      <c r="C40" s="5"/>
      <c r="D40" s="5"/>
      <c r="E40" s="5"/>
      <c r="F40" s="7"/>
      <c r="G40" s="5"/>
      <c r="I40" s="6"/>
      <c r="J40" s="5"/>
      <c r="L40" s="5"/>
      <c r="M40" s="7"/>
      <c r="N40" s="5"/>
      <c r="O40" s="5"/>
      <c r="P40" s="5"/>
      <c r="Q40" s="5"/>
      <c r="R40" s="5"/>
      <c r="S40" t="str">
        <v>NXT-8400</v>
      </c>
      <c r="T40" t="str">
        <v>NXT-8402</v>
      </c>
      <c r="U40" t="str">
        <v>bloque</v>
      </c>
      <c r="V40" t="str">
        <v>US</v>
      </c>
    </row>
    <row r="41" spans="3:22" x14ac:dyDescent="0.35">
      <c r="C41" s="5"/>
      <c r="D41" s="5"/>
      <c r="E41" s="5"/>
      <c r="F41" s="7"/>
      <c r="G41" s="5"/>
      <c r="I41" s="6"/>
      <c r="J41" s="5"/>
      <c r="L41" s="5"/>
      <c r="M41" s="7"/>
      <c r="N41" s="5"/>
      <c r="O41" s="5"/>
      <c r="P41" s="5"/>
      <c r="Q41" s="5"/>
      <c r="R41" s="5"/>
      <c r="S41" t="str">
        <v>NXT-8394</v>
      </c>
      <c r="T41" t="str">
        <v>NXT-7560</v>
      </c>
      <c r="U41" t="str">
        <v>est bloquée par</v>
      </c>
      <c r="V41" t="str">
        <v>US</v>
      </c>
    </row>
    <row r="42" spans="3:22" x14ac:dyDescent="0.35">
      <c r="C42" s="5"/>
      <c r="D42" s="5"/>
      <c r="E42" s="5"/>
      <c r="F42" s="7"/>
      <c r="G42" s="5"/>
      <c r="I42" s="6"/>
      <c r="J42" s="5"/>
      <c r="L42" s="5"/>
      <c r="M42" s="7"/>
      <c r="N42" s="5"/>
      <c r="O42" s="5"/>
      <c r="P42" s="5"/>
      <c r="Q42" s="5"/>
      <c r="R42" s="5"/>
      <c r="S42" t="str">
        <v>NXT-8394</v>
      </c>
      <c r="T42" t="str">
        <v>NXT-7561</v>
      </c>
      <c r="U42" t="str">
        <v>est bloquée par</v>
      </c>
      <c r="V42" t="str">
        <v>US</v>
      </c>
    </row>
    <row r="43" spans="3:22" x14ac:dyDescent="0.35">
      <c r="C43" s="5"/>
      <c r="D43" s="5"/>
      <c r="E43" s="5"/>
      <c r="F43" s="7"/>
      <c r="G43" s="5"/>
      <c r="I43" s="6"/>
      <c r="J43" s="5"/>
      <c r="L43" s="5"/>
      <c r="M43" s="7"/>
      <c r="N43" s="5"/>
      <c r="O43" s="5"/>
      <c r="P43" s="5"/>
      <c r="Q43" s="5"/>
      <c r="R43" s="5"/>
      <c r="S43" t="str">
        <v>NXT-8394</v>
      </c>
      <c r="T43" t="str">
        <v>NXT-7639</v>
      </c>
      <c r="U43" t="str">
        <v>est bloquée par</v>
      </c>
      <c r="V43" t="str">
        <v>US</v>
      </c>
    </row>
    <row r="44" spans="3:22" x14ac:dyDescent="0.35">
      <c r="C44" s="5"/>
      <c r="D44" s="5"/>
      <c r="E44" s="5"/>
      <c r="F44" s="7"/>
      <c r="G44" s="5"/>
      <c r="I44" s="6"/>
      <c r="J44" s="5"/>
      <c r="L44" s="5"/>
      <c r="M44" s="7"/>
      <c r="N44" s="5"/>
      <c r="O44" s="5"/>
      <c r="P44" s="5"/>
      <c r="Q44" s="5"/>
      <c r="R44" s="5"/>
      <c r="S44" t="str">
        <v>NXT-8394</v>
      </c>
      <c r="T44" t="str">
        <v>NXT-7641</v>
      </c>
      <c r="U44" t="str">
        <v>est bloquée par</v>
      </c>
      <c r="V44" t="str">
        <v>US</v>
      </c>
    </row>
    <row r="45" spans="3:22" x14ac:dyDescent="0.35">
      <c r="C45" s="5"/>
      <c r="D45" s="5"/>
      <c r="E45" s="5"/>
      <c r="F45" s="7"/>
      <c r="G45" s="5"/>
      <c r="I45" s="6"/>
      <c r="J45" s="5"/>
      <c r="L45" s="5"/>
      <c r="M45" s="7"/>
      <c r="N45" s="5"/>
      <c r="O45" s="5"/>
      <c r="P45" s="5"/>
      <c r="Q45" s="5"/>
      <c r="R45" s="5"/>
      <c r="S45" t="str">
        <v>NXT-8394</v>
      </c>
      <c r="T45" t="str">
        <v>NXT-7597</v>
      </c>
      <c r="U45" t="str">
        <v>est bloquée par</v>
      </c>
      <c r="V45" t="str">
        <v>US</v>
      </c>
    </row>
    <row r="46" spans="3:22" x14ac:dyDescent="0.35">
      <c r="C46" s="5"/>
      <c r="D46" s="5"/>
      <c r="E46" s="5"/>
      <c r="F46" s="7"/>
      <c r="G46" s="5"/>
      <c r="I46" s="6"/>
      <c r="J46" s="5"/>
      <c r="L46" s="5"/>
      <c r="M46" s="7"/>
      <c r="N46" s="5"/>
      <c r="O46" s="5"/>
      <c r="P46" s="5"/>
      <c r="Q46" s="5"/>
      <c r="R46" s="5"/>
      <c r="S46" t="str">
        <v>NXT-8394</v>
      </c>
      <c r="T46" t="str">
        <v>NXT-7596</v>
      </c>
      <c r="U46" t="str">
        <v>est bloquée par</v>
      </c>
      <c r="V46" t="str">
        <v>US</v>
      </c>
    </row>
    <row r="47" spans="3:22" x14ac:dyDescent="0.35">
      <c r="C47" s="5"/>
      <c r="D47" s="5"/>
      <c r="E47" s="5"/>
      <c r="F47" s="7"/>
      <c r="G47" s="5"/>
      <c r="I47" s="6"/>
      <c r="J47" s="5"/>
      <c r="L47" s="5"/>
      <c r="M47" s="7"/>
      <c r="N47" s="5"/>
      <c r="O47" s="5"/>
      <c r="P47" s="5"/>
      <c r="Q47" s="5"/>
      <c r="R47" s="5"/>
      <c r="S47" t="str">
        <v>NXT-8394</v>
      </c>
      <c r="T47" t="str">
        <v>NXT-7931</v>
      </c>
      <c r="U47" t="str">
        <v>est bloquée par</v>
      </c>
      <c r="V47" t="str">
        <v>US</v>
      </c>
    </row>
    <row r="48" spans="3:22" x14ac:dyDescent="0.35">
      <c r="C48" s="5"/>
      <c r="D48" s="5"/>
      <c r="E48" s="5"/>
      <c r="F48" s="7"/>
      <c r="G48" s="5"/>
      <c r="I48" s="6"/>
      <c r="J48" s="5"/>
      <c r="L48" s="5"/>
      <c r="M48" s="7"/>
      <c r="N48" s="5"/>
      <c r="O48" s="5"/>
      <c r="P48" s="5"/>
      <c r="Q48" s="5"/>
      <c r="R48" s="5"/>
      <c r="S48" t="str">
        <v>NXT-8394</v>
      </c>
      <c r="T48" t="str">
        <v>NXT-8316</v>
      </c>
      <c r="U48" t="str">
        <v>est bloquée par</v>
      </c>
      <c r="V48" t="str">
        <v>US</v>
      </c>
    </row>
    <row r="49" spans="3:22" x14ac:dyDescent="0.35">
      <c r="C49" s="5"/>
      <c r="D49" s="5"/>
      <c r="E49" s="5"/>
      <c r="F49" s="7"/>
      <c r="G49" s="5"/>
      <c r="I49" s="6"/>
      <c r="J49" s="5"/>
      <c r="L49" s="5"/>
      <c r="M49" s="7"/>
      <c r="N49" s="5"/>
      <c r="O49" s="5"/>
      <c r="P49" s="5"/>
      <c r="Q49" s="5"/>
      <c r="R49" s="5"/>
      <c r="S49" t="str">
        <v>NXT-8342</v>
      </c>
      <c r="T49" t="str">
        <v>NXT-7345</v>
      </c>
      <c r="U49" t="str">
        <v>est bloquée par</v>
      </c>
      <c r="V49" t="str">
        <v>US</v>
      </c>
    </row>
    <row r="50" spans="3:22" x14ac:dyDescent="0.35">
      <c r="C50" s="5"/>
      <c r="D50" s="5"/>
      <c r="E50" s="5"/>
      <c r="F50" s="7"/>
      <c r="G50" s="5"/>
      <c r="I50" s="6"/>
      <c r="J50" s="5"/>
      <c r="L50" s="5"/>
      <c r="M50" s="7"/>
      <c r="N50" s="5"/>
      <c r="O50" s="5"/>
      <c r="P50" s="5"/>
      <c r="Q50" s="5"/>
      <c r="R50" s="5"/>
      <c r="S50" t="str">
        <v>NXT-8342</v>
      </c>
      <c r="T50" t="str">
        <v>NXT-7372</v>
      </c>
      <c r="U50" t="str">
        <v>est bloquée par</v>
      </c>
      <c r="V50" t="str">
        <v>US</v>
      </c>
    </row>
    <row r="51" spans="3:22" x14ac:dyDescent="0.35">
      <c r="C51" s="5"/>
      <c r="D51" s="5"/>
      <c r="E51" s="5"/>
      <c r="F51" s="7"/>
      <c r="G51" s="5"/>
      <c r="I51" s="6"/>
      <c r="J51" s="5"/>
      <c r="L51" s="5"/>
      <c r="M51" s="7"/>
      <c r="N51" s="5"/>
      <c r="O51" s="5"/>
      <c r="P51" s="5"/>
      <c r="Q51" s="5"/>
      <c r="R51" s="5"/>
      <c r="S51" t="str">
        <v>NXT-8342</v>
      </c>
      <c r="T51" t="str">
        <v>NXT-8457</v>
      </c>
      <c r="U51" t="str">
        <v>bloque</v>
      </c>
      <c r="V51" t="str">
        <v>US</v>
      </c>
    </row>
    <row r="52" spans="3:22" x14ac:dyDescent="0.35">
      <c r="C52" s="5"/>
      <c r="D52" s="5"/>
      <c r="E52" s="5"/>
      <c r="F52" s="7"/>
      <c r="G52" s="5"/>
      <c r="I52" s="6"/>
      <c r="J52" s="5"/>
      <c r="L52" s="5"/>
      <c r="M52" s="7"/>
      <c r="N52" s="5"/>
      <c r="O52" s="5"/>
      <c r="P52" s="5"/>
      <c r="Q52" s="5"/>
      <c r="R52" s="5"/>
      <c r="S52" t="str">
        <v>NXT-8316</v>
      </c>
      <c r="T52" t="str">
        <v>NXT-8394</v>
      </c>
      <c r="U52" t="str">
        <v>bloque</v>
      </c>
      <c r="V52" t="str">
        <v>US</v>
      </c>
    </row>
    <row r="53" spans="3:22" x14ac:dyDescent="0.35">
      <c r="C53" s="5"/>
      <c r="D53" s="5"/>
      <c r="E53" s="5"/>
      <c r="F53" s="7"/>
      <c r="G53" s="5"/>
      <c r="I53" s="6"/>
      <c r="J53" s="5"/>
      <c r="L53" s="5"/>
      <c r="M53" s="7"/>
      <c r="N53" s="5"/>
      <c r="O53" s="5"/>
      <c r="P53" s="5"/>
      <c r="Q53" s="5"/>
      <c r="R53" s="5"/>
      <c r="S53" t="str">
        <v>NXT-8302</v>
      </c>
      <c r="T53" t="str">
        <v>NXT-8295</v>
      </c>
      <c r="U53" t="str">
        <v>est bloquée par</v>
      </c>
      <c r="V53" t="str">
        <v>US</v>
      </c>
    </row>
    <row r="54" spans="3:22" x14ac:dyDescent="0.35">
      <c r="C54" s="5"/>
      <c r="D54" s="5"/>
      <c r="E54" s="5"/>
      <c r="F54" s="7"/>
      <c r="G54" s="5"/>
      <c r="I54" s="6"/>
      <c r="J54" s="5"/>
      <c r="L54" s="5"/>
      <c r="M54" s="7"/>
      <c r="N54" s="5"/>
      <c r="O54" s="5"/>
      <c r="P54" s="5"/>
      <c r="Q54" s="5"/>
      <c r="R54" s="5"/>
      <c r="S54" t="str">
        <v>NXT-8302</v>
      </c>
      <c r="T54" t="str">
        <v>NXT-8301</v>
      </c>
      <c r="U54" t="str">
        <v>est bloquée par</v>
      </c>
      <c r="V54" t="str">
        <v>US</v>
      </c>
    </row>
    <row r="55" spans="3:22" x14ac:dyDescent="0.35">
      <c r="C55" s="5"/>
      <c r="D55" s="5"/>
      <c r="E55" s="5"/>
      <c r="F55" s="7"/>
      <c r="G55" s="5"/>
      <c r="I55" s="6"/>
      <c r="J55" s="5"/>
      <c r="L55" s="5"/>
      <c r="M55" s="7"/>
      <c r="N55" s="5"/>
      <c r="O55" s="5"/>
      <c r="P55" s="5"/>
      <c r="Q55" s="5"/>
      <c r="R55" s="5"/>
      <c r="S55" t="str">
        <v>NXT-8301</v>
      </c>
      <c r="T55" t="str">
        <v>NXT-8295</v>
      </c>
      <c r="U55" t="str">
        <v>est bloquée par</v>
      </c>
      <c r="V55" t="str">
        <v>US</v>
      </c>
    </row>
    <row r="56" spans="3:22" x14ac:dyDescent="0.35">
      <c r="C56" s="5"/>
      <c r="D56" s="5"/>
      <c r="E56" s="5"/>
      <c r="F56" s="7"/>
      <c r="G56" s="5"/>
      <c r="I56" s="6"/>
      <c r="J56" s="5"/>
      <c r="L56" s="5"/>
      <c r="M56" s="7"/>
      <c r="N56" s="5"/>
      <c r="O56" s="5"/>
      <c r="P56" s="5"/>
      <c r="Q56" s="5"/>
      <c r="R56" s="5"/>
      <c r="S56" t="str">
        <v>NXT-8301</v>
      </c>
      <c r="T56" t="str">
        <v>NXT-8302</v>
      </c>
      <c r="U56" t="str">
        <v>bloque</v>
      </c>
      <c r="V56" t="str">
        <v>US</v>
      </c>
    </row>
    <row r="57" spans="3:22" x14ac:dyDescent="0.35">
      <c r="C57" s="5"/>
      <c r="D57" s="5"/>
      <c r="E57" s="5"/>
      <c r="F57" s="7"/>
      <c r="G57" s="5"/>
      <c r="I57" s="6"/>
      <c r="J57" s="5"/>
      <c r="L57" s="5"/>
      <c r="M57" s="7"/>
      <c r="N57" s="5"/>
      <c r="O57" s="5"/>
      <c r="P57" s="5"/>
      <c r="Q57" s="5"/>
      <c r="R57" s="5"/>
      <c r="S57" t="str">
        <v>NXT-8299</v>
      </c>
      <c r="T57" t="str">
        <v>NXT-8293</v>
      </c>
      <c r="U57" t="str">
        <v>est bloquée par</v>
      </c>
      <c r="V57" t="str">
        <v>US</v>
      </c>
    </row>
    <row r="58" spans="3:22" x14ac:dyDescent="0.35">
      <c r="C58" s="5"/>
      <c r="D58" s="5"/>
      <c r="E58" s="5"/>
      <c r="F58" s="7"/>
      <c r="G58" s="5"/>
      <c r="I58" s="6"/>
      <c r="J58" s="5"/>
      <c r="L58" s="5"/>
      <c r="M58" s="7"/>
      <c r="N58" s="5"/>
      <c r="O58" s="5"/>
      <c r="P58" s="5"/>
      <c r="Q58" s="5"/>
      <c r="R58" s="5"/>
      <c r="S58" t="str">
        <v>NXT-8299</v>
      </c>
      <c r="T58" t="str">
        <v>NXT-6676</v>
      </c>
      <c r="U58" t="str">
        <v>is tested by</v>
      </c>
      <c r="V58" t="str">
        <v>US</v>
      </c>
    </row>
    <row r="59" spans="3:22" x14ac:dyDescent="0.35">
      <c r="C59" s="5"/>
      <c r="D59" s="5"/>
      <c r="E59" s="5"/>
      <c r="F59" s="7"/>
      <c r="G59" s="5"/>
      <c r="I59" s="6"/>
      <c r="J59" s="5"/>
      <c r="L59" s="5"/>
      <c r="M59" s="7"/>
      <c r="N59" s="5"/>
      <c r="O59" s="5"/>
      <c r="P59" s="5"/>
      <c r="Q59" s="5"/>
      <c r="R59" s="5"/>
      <c r="S59" t="str">
        <v>NXT-8298</v>
      </c>
      <c r="T59" t="str">
        <v>NXT-8293</v>
      </c>
      <c r="U59" t="str">
        <v>est bloquée par</v>
      </c>
      <c r="V59" t="str">
        <v>US</v>
      </c>
    </row>
    <row r="60" spans="3:22" x14ac:dyDescent="0.35">
      <c r="C60" s="5"/>
      <c r="D60" s="5"/>
      <c r="E60" s="5"/>
      <c r="F60" s="7"/>
      <c r="G60" s="5"/>
      <c r="I60" s="6"/>
      <c r="J60" s="5"/>
      <c r="L60" s="5"/>
      <c r="M60" s="7"/>
      <c r="N60" s="5"/>
      <c r="O60" s="5"/>
      <c r="P60" s="5"/>
      <c r="Q60" s="5"/>
      <c r="R60" s="5"/>
      <c r="S60" t="str">
        <v>NXT-8298</v>
      </c>
      <c r="T60" t="str">
        <v>NXT-6677</v>
      </c>
      <c r="U60" t="str">
        <v>is tested by</v>
      </c>
      <c r="V60" t="str">
        <v>US</v>
      </c>
    </row>
    <row r="61" spans="3:22" x14ac:dyDescent="0.35">
      <c r="C61" s="5"/>
      <c r="D61" s="5"/>
      <c r="E61" s="5"/>
      <c r="F61" s="7"/>
      <c r="G61" s="5"/>
      <c r="I61" s="6"/>
      <c r="J61" s="5"/>
      <c r="L61" s="5"/>
      <c r="M61" s="7"/>
      <c r="N61" s="5"/>
      <c r="O61" s="5"/>
      <c r="P61" s="5"/>
      <c r="Q61" s="5"/>
      <c r="R61" s="5"/>
      <c r="S61" t="str">
        <v>NXT-8296</v>
      </c>
      <c r="T61" t="str">
        <v>NXT-8293</v>
      </c>
      <c r="U61" t="str">
        <v>est bloquée par</v>
      </c>
      <c r="V61" t="str">
        <v>US</v>
      </c>
    </row>
    <row r="62" spans="3:22" x14ac:dyDescent="0.35">
      <c r="C62" s="5"/>
      <c r="D62" s="5"/>
      <c r="E62" s="5"/>
      <c r="F62" s="7"/>
      <c r="G62" s="5"/>
      <c r="I62" s="6"/>
      <c r="J62" s="5"/>
      <c r="L62" s="5"/>
      <c r="M62" s="7"/>
      <c r="N62" s="5"/>
      <c r="O62" s="5"/>
      <c r="P62" s="5"/>
      <c r="Q62" s="5"/>
      <c r="R62" s="5"/>
      <c r="S62" t="str">
        <v>NXT-8296</v>
      </c>
      <c r="T62" t="str">
        <v>NXT-6626</v>
      </c>
      <c r="U62" t="str">
        <v>is tested by</v>
      </c>
      <c r="V62" t="str">
        <v>US</v>
      </c>
    </row>
    <row r="63" spans="3:22" x14ac:dyDescent="0.35">
      <c r="C63" s="5"/>
      <c r="D63" s="5"/>
      <c r="E63" s="5"/>
      <c r="F63" s="7"/>
      <c r="G63" s="5"/>
      <c r="I63" s="6"/>
      <c r="J63" s="5"/>
      <c r="L63" s="5"/>
      <c r="M63" s="7"/>
      <c r="N63" s="5"/>
      <c r="O63" s="5"/>
      <c r="P63" s="5"/>
      <c r="Q63" s="5"/>
      <c r="R63" s="5"/>
      <c r="S63" t="str">
        <v>NXT-8295</v>
      </c>
      <c r="T63" t="str">
        <v>NXT-8293</v>
      </c>
      <c r="U63" t="str">
        <v>est bloquée par</v>
      </c>
      <c r="V63" t="str">
        <v>US</v>
      </c>
    </row>
    <row r="64" spans="3:22" x14ac:dyDescent="0.35">
      <c r="C64" s="5"/>
      <c r="D64" s="5"/>
      <c r="E64" s="5"/>
      <c r="F64" s="7"/>
      <c r="G64" s="5"/>
      <c r="I64" s="6"/>
      <c r="J64" s="5"/>
      <c r="L64" s="5"/>
      <c r="M64" s="7"/>
      <c r="N64" s="5"/>
      <c r="O64" s="5"/>
      <c r="P64" s="5"/>
      <c r="Q64" s="5"/>
      <c r="R64" s="5"/>
      <c r="S64" t="str">
        <v>NXT-8295</v>
      </c>
      <c r="T64" t="str">
        <v>NXT-8301</v>
      </c>
      <c r="U64" t="str">
        <v>bloque</v>
      </c>
      <c r="V64" t="str">
        <v>US</v>
      </c>
    </row>
    <row r="65" spans="3:22" x14ac:dyDescent="0.35">
      <c r="C65" s="5"/>
      <c r="D65" s="5"/>
      <c r="E65" s="5"/>
      <c r="F65" s="7"/>
      <c r="G65" s="5"/>
      <c r="I65" s="6"/>
      <c r="J65" s="5"/>
      <c r="L65" s="5"/>
      <c r="M65" s="7"/>
      <c r="N65" s="5"/>
      <c r="O65" s="5"/>
      <c r="P65" s="5"/>
      <c r="Q65" s="5"/>
      <c r="R65" s="5"/>
      <c r="S65" t="str">
        <v>NXT-8295</v>
      </c>
      <c r="T65" t="str">
        <v>NXT-8302</v>
      </c>
      <c r="U65" t="str">
        <v>bloque</v>
      </c>
      <c r="V65" t="str">
        <v>US</v>
      </c>
    </row>
    <row r="66" spans="3:22" x14ac:dyDescent="0.35">
      <c r="C66" s="5"/>
      <c r="D66" s="5"/>
      <c r="E66" s="5"/>
      <c r="F66" s="7"/>
      <c r="G66" s="5"/>
      <c r="I66" s="6"/>
      <c r="J66" s="5"/>
      <c r="L66" s="5"/>
      <c r="M66" s="7"/>
      <c r="N66" s="5"/>
      <c r="O66" s="5"/>
      <c r="P66" s="5"/>
      <c r="Q66" s="5"/>
      <c r="R66" s="5"/>
      <c r="S66" t="str">
        <v>NXT-8055</v>
      </c>
      <c r="T66" t="str">
        <v>NXT-6565</v>
      </c>
      <c r="U66" t="str">
        <v>Initiation</v>
      </c>
      <c r="V66" t="str">
        <v>US</v>
      </c>
    </row>
    <row r="67" spans="3:22" x14ac:dyDescent="0.35">
      <c r="C67" s="5"/>
      <c r="D67" s="5"/>
      <c r="E67" s="5"/>
      <c r="F67" s="7"/>
      <c r="G67" s="5"/>
      <c r="I67" s="6"/>
      <c r="J67" s="5"/>
      <c r="L67" s="5"/>
      <c r="M67" s="7"/>
      <c r="N67" s="5"/>
      <c r="O67" s="5"/>
      <c r="P67" s="5"/>
      <c r="Q67" s="5"/>
      <c r="R67" s="5"/>
      <c r="S67" t="str">
        <v>NXT-8006</v>
      </c>
      <c r="T67" t="str">
        <v>NXT-8268</v>
      </c>
      <c r="U67" t="str">
        <v>bloque</v>
      </c>
      <c r="V67" t="str">
        <v>US</v>
      </c>
    </row>
    <row r="68" spans="3:22" x14ac:dyDescent="0.35">
      <c r="C68" s="5"/>
      <c r="D68" s="5"/>
      <c r="E68" s="5"/>
      <c r="F68" s="7"/>
      <c r="G68" s="5"/>
      <c r="I68" s="6"/>
      <c r="J68" s="5"/>
      <c r="L68" s="5"/>
      <c r="M68" s="7"/>
      <c r="N68" s="5"/>
      <c r="O68" s="5"/>
      <c r="P68" s="5"/>
      <c r="Q68" s="5"/>
      <c r="R68" s="5"/>
      <c r="S68" t="str">
        <v>NXT-8006</v>
      </c>
      <c r="T68" t="str">
        <v>NXT-7639</v>
      </c>
      <c r="U68" t="str">
        <v>est bloquée par</v>
      </c>
      <c r="V68" t="str">
        <v>US</v>
      </c>
    </row>
    <row r="69" spans="3:22" x14ac:dyDescent="0.35">
      <c r="C69" s="5"/>
      <c r="D69" s="5"/>
      <c r="E69" s="5"/>
      <c r="F69" s="7"/>
      <c r="G69" s="5"/>
      <c r="I69" s="6"/>
      <c r="J69" s="5"/>
      <c r="L69" s="5"/>
      <c r="M69" s="7"/>
      <c r="N69" s="5"/>
      <c r="O69" s="5"/>
      <c r="P69" s="5"/>
      <c r="Q69" s="5"/>
      <c r="R69" s="5"/>
      <c r="S69" t="str">
        <v>NXT-7944</v>
      </c>
      <c r="T69" t="str">
        <v>NXT-8314</v>
      </c>
      <c r="U69" t="str">
        <v>est bloquée par</v>
      </c>
      <c r="V69" t="str">
        <v>US</v>
      </c>
    </row>
    <row r="70" spans="3:22" x14ac:dyDescent="0.35">
      <c r="C70" s="5"/>
      <c r="D70" s="5"/>
      <c r="E70" s="5"/>
      <c r="F70" s="7"/>
      <c r="G70" s="5"/>
      <c r="I70" s="6"/>
      <c r="J70" s="5"/>
      <c r="L70" s="5"/>
      <c r="M70" s="7"/>
      <c r="N70" s="5"/>
      <c r="O70" s="5"/>
      <c r="P70" s="5"/>
      <c r="Q70" s="5"/>
      <c r="R70" s="5"/>
      <c r="S70" t="str">
        <v>NXT-7944</v>
      </c>
      <c r="T70" t="str">
        <v>NXT-8497</v>
      </c>
      <c r="U70" t="str">
        <v>est liée à</v>
      </c>
      <c r="V70" t="str">
        <v>US</v>
      </c>
    </row>
    <row r="71" spans="3:22" x14ac:dyDescent="0.35">
      <c r="C71" s="5"/>
      <c r="D71" s="5"/>
      <c r="E71" s="5"/>
      <c r="F71" s="7"/>
      <c r="G71" s="5"/>
      <c r="I71" s="6"/>
      <c r="J71" s="5"/>
      <c r="L71" s="5"/>
      <c r="M71" s="7"/>
      <c r="N71" s="5"/>
      <c r="O71" s="5"/>
      <c r="P71" s="5"/>
      <c r="Q71" s="5"/>
      <c r="R71" s="5"/>
      <c r="S71" t="str">
        <v>NXT-7939</v>
      </c>
      <c r="T71" t="str">
        <v>NXT-7561</v>
      </c>
      <c r="U71" t="str">
        <v>est bloquée par</v>
      </c>
      <c r="V71" t="str">
        <v>US</v>
      </c>
    </row>
    <row r="72" spans="3:22" x14ac:dyDescent="0.35">
      <c r="C72" s="5"/>
      <c r="D72" s="5"/>
      <c r="E72" s="5"/>
      <c r="F72" s="7"/>
      <c r="G72" s="5"/>
      <c r="I72" s="6"/>
      <c r="J72" s="5"/>
      <c r="L72" s="5"/>
      <c r="M72" s="7"/>
      <c r="N72" s="5"/>
      <c r="O72" s="5"/>
      <c r="P72" s="5"/>
      <c r="Q72" s="5"/>
      <c r="R72" s="5"/>
      <c r="S72" t="str">
        <v>NXT-7939</v>
      </c>
      <c r="T72" t="str">
        <v>NXT-8273</v>
      </c>
      <c r="U72" t="str">
        <v>bloque</v>
      </c>
      <c r="V72" t="str">
        <v>US</v>
      </c>
    </row>
    <row r="73" spans="3:22" x14ac:dyDescent="0.35">
      <c r="C73" s="5"/>
      <c r="D73" s="5"/>
      <c r="E73" s="5"/>
      <c r="F73" s="7"/>
      <c r="G73" s="5"/>
      <c r="I73" s="6"/>
      <c r="J73" s="5"/>
      <c r="L73" s="5"/>
      <c r="M73" s="7"/>
      <c r="N73" s="5"/>
      <c r="O73" s="5"/>
      <c r="P73" s="5"/>
      <c r="Q73" s="5"/>
      <c r="R73" s="5"/>
      <c r="S73" t="str">
        <v>NXT-7931</v>
      </c>
      <c r="T73" t="str">
        <v>NXT-7668</v>
      </c>
      <c r="U73" t="str">
        <v>est bloquée par</v>
      </c>
      <c r="V73" t="str">
        <v>US</v>
      </c>
    </row>
    <row r="74" spans="3:22" x14ac:dyDescent="0.35">
      <c r="C74" s="5"/>
      <c r="D74" s="5"/>
      <c r="E74" s="5"/>
      <c r="F74" s="7"/>
      <c r="G74" s="5"/>
      <c r="I74" s="6"/>
      <c r="J74" s="5"/>
      <c r="L74" s="5"/>
      <c r="M74" s="7"/>
      <c r="N74" s="5"/>
      <c r="O74" s="5"/>
      <c r="P74" s="5"/>
      <c r="Q74" s="5"/>
      <c r="R74" s="5"/>
      <c r="S74" t="str">
        <v>NXT-7931</v>
      </c>
      <c r="T74" t="str">
        <v>NXT-8209</v>
      </c>
      <c r="U74" t="str">
        <v>est bloquée par</v>
      </c>
      <c r="V74" t="str">
        <v>US</v>
      </c>
    </row>
    <row r="75" spans="3:22" x14ac:dyDescent="0.35">
      <c r="C75" s="5"/>
      <c r="D75" s="5"/>
      <c r="E75" s="5"/>
      <c r="F75" s="7"/>
      <c r="G75" s="5"/>
      <c r="I75" s="6"/>
      <c r="J75" s="5"/>
      <c r="L75" s="5"/>
      <c r="M75" s="7"/>
      <c r="N75" s="5"/>
      <c r="O75" s="5"/>
      <c r="P75" s="5"/>
      <c r="Q75" s="5"/>
      <c r="R75" s="5"/>
      <c r="S75" t="str">
        <v>NXT-7931</v>
      </c>
      <c r="T75" t="str">
        <v>NXT-8394</v>
      </c>
      <c r="U75" t="str">
        <v>bloque</v>
      </c>
      <c r="V75" t="str">
        <v>US</v>
      </c>
    </row>
    <row r="76" spans="3:22" x14ac:dyDescent="0.35">
      <c r="C76" s="5"/>
      <c r="D76" s="5"/>
      <c r="E76" s="5"/>
      <c r="F76" s="7"/>
      <c r="G76" s="5"/>
      <c r="I76" s="6"/>
      <c r="J76" s="5"/>
      <c r="L76" s="5"/>
      <c r="M76" s="7"/>
      <c r="N76" s="5"/>
      <c r="O76" s="5"/>
      <c r="P76" s="5"/>
      <c r="Q76" s="5"/>
      <c r="R76" s="5"/>
      <c r="S76" t="str">
        <v>NXT-7910</v>
      </c>
      <c r="T76" t="str">
        <v>NXT-7642</v>
      </c>
      <c r="U76" t="str">
        <v>est bloquée par</v>
      </c>
      <c r="V76" t="str">
        <v>US</v>
      </c>
    </row>
    <row r="77" spans="3:22" x14ac:dyDescent="0.35">
      <c r="C77" s="5"/>
      <c r="D77" s="5"/>
      <c r="E77" s="5"/>
      <c r="F77" s="7"/>
      <c r="G77" s="5"/>
      <c r="I77" s="6"/>
      <c r="J77" s="5"/>
      <c r="L77" s="5"/>
      <c r="M77" s="7"/>
      <c r="N77" s="5"/>
      <c r="O77" s="5"/>
      <c r="P77" s="5"/>
      <c r="Q77" s="5"/>
      <c r="R77" s="5"/>
      <c r="S77" t="str">
        <v>NXT-7849</v>
      </c>
      <c r="T77" t="str">
        <v>NXT-7311</v>
      </c>
      <c r="U77" t="str">
        <v>est causée par</v>
      </c>
      <c r="V77" t="str">
        <v>US</v>
      </c>
    </row>
    <row r="78" spans="3:22" x14ac:dyDescent="0.35">
      <c r="C78" s="5"/>
      <c r="D78" s="5"/>
      <c r="E78" s="5"/>
      <c r="F78" s="7"/>
      <c r="G78" s="5"/>
      <c r="I78" s="6"/>
      <c r="J78" s="5"/>
      <c r="L78" s="5"/>
      <c r="M78" s="7"/>
      <c r="N78" s="5"/>
      <c r="O78" s="5"/>
      <c r="P78" s="5"/>
      <c r="Q78" s="5"/>
      <c r="R78" s="5"/>
      <c r="S78" t="str">
        <v>NXT-7643</v>
      </c>
      <c r="T78" t="str">
        <v>NXT-8289</v>
      </c>
      <c r="U78" t="str">
        <v>Initiation</v>
      </c>
      <c r="V78" t="str">
        <v>US</v>
      </c>
    </row>
    <row r="79" spans="3:22" x14ac:dyDescent="0.35">
      <c r="C79" s="5"/>
      <c r="D79" s="5"/>
      <c r="E79" s="5"/>
      <c r="F79" s="7"/>
      <c r="G79" s="5"/>
      <c r="I79" s="6"/>
      <c r="J79" s="5"/>
      <c r="L79" s="5"/>
      <c r="M79" s="7"/>
      <c r="N79" s="5"/>
      <c r="O79" s="5"/>
      <c r="P79" s="5"/>
      <c r="Q79" s="5"/>
      <c r="R79" s="5"/>
      <c r="S79" t="str">
        <v>NXT-7642</v>
      </c>
      <c r="T79" t="str">
        <v>NXT-7910</v>
      </c>
      <c r="U79" t="str">
        <v>bloque</v>
      </c>
      <c r="V79" t="str">
        <v>US</v>
      </c>
    </row>
    <row r="80" spans="3:22" x14ac:dyDescent="0.35">
      <c r="C80" s="5"/>
      <c r="D80" s="5"/>
      <c r="E80" s="5"/>
      <c r="F80" s="7"/>
      <c r="G80" s="5"/>
      <c r="I80" s="6"/>
      <c r="J80" s="5"/>
      <c r="L80" s="5"/>
      <c r="M80" s="7"/>
      <c r="N80" s="5"/>
      <c r="O80" s="5"/>
      <c r="P80" s="5"/>
      <c r="Q80" s="5"/>
      <c r="R80" s="5"/>
      <c r="S80" t="str">
        <v>NXT-7640</v>
      </c>
      <c r="T80" t="str">
        <v>NXT-7645</v>
      </c>
      <c r="U80" t="str">
        <v>lie</v>
      </c>
      <c r="V80" t="str">
        <v>US</v>
      </c>
    </row>
    <row r="81" spans="3:22" x14ac:dyDescent="0.35">
      <c r="C81" s="5"/>
      <c r="D81" s="5"/>
      <c r="E81" s="5"/>
      <c r="F81" s="7"/>
      <c r="G81" s="5"/>
      <c r="I81" s="6"/>
      <c r="J81" s="5"/>
      <c r="L81" s="5"/>
      <c r="M81" s="7"/>
      <c r="N81" s="5"/>
      <c r="O81" s="5"/>
      <c r="P81" s="5"/>
      <c r="Q81" s="5"/>
      <c r="R81" s="5"/>
      <c r="S81" t="str">
        <v>NXT-7560</v>
      </c>
      <c r="T81" t="str">
        <v>NXT-8394</v>
      </c>
      <c r="U81" t="str">
        <v>bloque</v>
      </c>
      <c r="V81" t="str">
        <v>US</v>
      </c>
    </row>
    <row r="82" spans="3:22" x14ac:dyDescent="0.35">
      <c r="C82" s="5"/>
      <c r="D82" s="5"/>
      <c r="E82" s="5"/>
      <c r="F82" s="7"/>
      <c r="G82" s="5"/>
      <c r="I82" s="6"/>
      <c r="J82" s="5"/>
      <c r="L82" s="5"/>
      <c r="M82" s="7"/>
      <c r="N82" s="5"/>
      <c r="O82" s="5"/>
      <c r="P82" s="5"/>
      <c r="Q82" s="5"/>
      <c r="R82" s="5"/>
      <c r="S82" t="str">
        <v>J5-5074</v>
      </c>
      <c r="T82" t="str">
        <v>J5-4755</v>
      </c>
      <c r="U82" t="str">
        <v>Initiation</v>
      </c>
      <c r="V82" t="str">
        <v>US</v>
      </c>
    </row>
    <row r="83" spans="3:22" x14ac:dyDescent="0.35">
      <c r="C83" s="5"/>
      <c r="D83" s="5"/>
      <c r="E83" s="5"/>
      <c r="F83" s="7"/>
      <c r="G83" s="5"/>
      <c r="I83" s="6"/>
      <c r="J83" s="5"/>
      <c r="L83" s="5"/>
      <c r="M83" s="7"/>
      <c r="N83" s="5"/>
      <c r="O83" s="5"/>
      <c r="P83" s="5"/>
      <c r="Q83" s="5"/>
      <c r="R83" s="5"/>
      <c r="S83" t="str">
        <v>J5-5050</v>
      </c>
      <c r="T83" t="str">
        <v>J5-4861</v>
      </c>
      <c r="U83" t="str">
        <v>lie</v>
      </c>
      <c r="V83" t="str">
        <v>US</v>
      </c>
    </row>
    <row r="84" spans="3:22" x14ac:dyDescent="0.35">
      <c r="C84" s="5"/>
      <c r="D84" s="5"/>
      <c r="E84" s="5"/>
      <c r="F84" s="7"/>
      <c r="G84" s="5"/>
      <c r="I84" s="6"/>
      <c r="J84" s="5"/>
      <c r="L84" s="5"/>
      <c r="M84" s="7"/>
      <c r="N84" s="5"/>
      <c r="O84" s="5"/>
      <c r="P84" s="5"/>
      <c r="Q84" s="5"/>
      <c r="R84" s="5"/>
      <c r="S84" t="str">
        <v>J5-5032</v>
      </c>
      <c r="T84" t="str">
        <v>J5-5099</v>
      </c>
      <c r="U84" t="str">
        <v>is tested by</v>
      </c>
      <c r="V84" t="str">
        <v>US</v>
      </c>
    </row>
    <row r="85" spans="3:22" x14ac:dyDescent="0.35">
      <c r="C85" s="5"/>
      <c r="D85" s="5"/>
      <c r="E85" s="5"/>
      <c r="F85" s="7"/>
      <c r="G85" s="5"/>
      <c r="I85" s="6"/>
      <c r="J85" s="5"/>
      <c r="L85" s="5"/>
      <c r="M85" s="7"/>
      <c r="N85" s="5"/>
      <c r="O85" s="5"/>
      <c r="P85" s="5"/>
      <c r="Q85" s="5"/>
      <c r="R85" s="5"/>
      <c r="S85" t="str">
        <v>J5-5023</v>
      </c>
      <c r="T85" t="str">
        <v>J5-5055</v>
      </c>
      <c r="U85" t="str">
        <v>est liée à</v>
      </c>
      <c r="V85" t="str">
        <v>US</v>
      </c>
    </row>
    <row r="86" spans="3:22" x14ac:dyDescent="0.35">
      <c r="C86" s="5"/>
      <c r="D86" s="5"/>
      <c r="E86" s="5"/>
      <c r="F86" s="7"/>
      <c r="G86" s="5"/>
      <c r="I86" s="6"/>
      <c r="J86" s="5"/>
      <c r="L86" s="5"/>
      <c r="M86" s="7"/>
      <c r="N86" s="5"/>
      <c r="O86" s="5"/>
      <c r="P86" s="5"/>
      <c r="Q86" s="5"/>
      <c r="R86" s="5"/>
      <c r="S86" t="str">
        <v>J5-5001</v>
      </c>
      <c r="T86" t="str">
        <v>J5-5000</v>
      </c>
      <c r="U86" t="str">
        <v>bloque</v>
      </c>
      <c r="V86" t="str">
        <v>US</v>
      </c>
    </row>
    <row r="87" spans="3:22" x14ac:dyDescent="0.35">
      <c r="C87" s="5"/>
      <c r="D87" s="5"/>
      <c r="E87" s="5"/>
      <c r="F87" s="7"/>
      <c r="G87" s="5"/>
      <c r="I87" s="6"/>
      <c r="J87" s="5"/>
      <c r="L87" s="5"/>
      <c r="M87" s="7"/>
      <c r="N87" s="5"/>
      <c r="O87" s="5"/>
      <c r="P87" s="5"/>
      <c r="Q87" s="5"/>
      <c r="R87" s="5"/>
      <c r="S87" t="str">
        <v>J5-4980</v>
      </c>
      <c r="T87" t="str">
        <v>J5-4631</v>
      </c>
      <c r="U87" t="str">
        <v>Initiation</v>
      </c>
      <c r="V87" t="str">
        <v>US</v>
      </c>
    </row>
    <row r="88" spans="3:22" x14ac:dyDescent="0.35">
      <c r="C88" s="5"/>
      <c r="D88" s="5"/>
      <c r="E88" s="5"/>
      <c r="F88" s="7"/>
      <c r="G88" s="5"/>
      <c r="I88" s="6"/>
      <c r="J88" s="5"/>
      <c r="L88" s="5"/>
      <c r="M88" s="7"/>
      <c r="N88" s="5"/>
      <c r="O88" s="5"/>
      <c r="P88" s="5"/>
      <c r="Q88" s="5"/>
      <c r="R88" s="5"/>
      <c r="S88" t="str">
        <v>J5-4963</v>
      </c>
      <c r="T88" t="str">
        <v>J5-5065</v>
      </c>
      <c r="U88" t="str">
        <v>is tested by</v>
      </c>
      <c r="V88" t="str">
        <v>US</v>
      </c>
    </row>
    <row r="89" spans="3:22" x14ac:dyDescent="0.35">
      <c r="C89" s="5"/>
      <c r="D89" s="5"/>
      <c r="E89" s="5"/>
      <c r="F89" s="7"/>
      <c r="G89" s="5"/>
      <c r="I89" s="6"/>
      <c r="J89" s="5"/>
      <c r="L89" s="5"/>
      <c r="M89" s="7"/>
      <c r="N89" s="5"/>
      <c r="O89" s="5"/>
      <c r="P89" s="5"/>
      <c r="Q89" s="5"/>
      <c r="R89" s="5"/>
      <c r="S89" t="str">
        <v>J5-4909</v>
      </c>
      <c r="T89" t="str">
        <v>J5-5067</v>
      </c>
      <c r="U89" t="str">
        <v>is tested by</v>
      </c>
      <c r="V89" t="str">
        <v>US</v>
      </c>
    </row>
    <row r="90" spans="3:22" x14ac:dyDescent="0.35">
      <c r="C90" s="5"/>
      <c r="D90" s="5"/>
      <c r="E90" s="5"/>
      <c r="F90" s="7"/>
      <c r="G90" s="5"/>
      <c r="I90" s="6"/>
      <c r="J90" s="5"/>
      <c r="L90" s="5"/>
      <c r="M90" s="7"/>
      <c r="N90" s="5"/>
      <c r="O90" s="5"/>
      <c r="P90" s="5"/>
      <c r="Q90" s="5"/>
      <c r="R90" s="5"/>
      <c r="S90" t="str">
        <v>J5-4900</v>
      </c>
      <c r="T90" t="str">
        <v>J5-4640</v>
      </c>
      <c r="U90" t="str">
        <v>Initiation</v>
      </c>
      <c r="V90" t="str">
        <v>US</v>
      </c>
    </row>
    <row r="91" spans="3:22" x14ac:dyDescent="0.35">
      <c r="C91" s="5"/>
      <c r="D91" s="5"/>
      <c r="E91" s="5"/>
      <c r="F91" s="7"/>
      <c r="G91" s="5"/>
      <c r="I91" s="6"/>
      <c r="J91" s="5"/>
      <c r="L91" s="5"/>
      <c r="M91" s="7"/>
      <c r="N91" s="5"/>
      <c r="O91" s="5"/>
      <c r="P91" s="5"/>
      <c r="Q91" s="5"/>
      <c r="R91" s="5"/>
      <c r="S91" t="str">
        <v>J5-4899</v>
      </c>
      <c r="T91" t="str">
        <v>J5-4640</v>
      </c>
      <c r="U91" t="str">
        <v>Initiation</v>
      </c>
      <c r="V91" t="str">
        <v>US</v>
      </c>
    </row>
    <row r="92" spans="3:22" x14ac:dyDescent="0.35">
      <c r="C92" s="5"/>
      <c r="D92" s="5"/>
      <c r="E92" s="5"/>
      <c r="F92" s="7"/>
      <c r="G92" s="5"/>
      <c r="I92" s="6"/>
      <c r="J92" s="5"/>
      <c r="L92" s="5"/>
      <c r="M92" s="7"/>
      <c r="N92" s="5"/>
      <c r="O92" s="5"/>
      <c r="P92" s="5"/>
      <c r="Q92" s="5"/>
      <c r="R92" s="5"/>
      <c r="S92" t="str">
        <v>J5-4898</v>
      </c>
      <c r="T92" t="str">
        <v>J5-4640</v>
      </c>
      <c r="U92" t="str">
        <v>Initiation</v>
      </c>
      <c r="V92" t="str">
        <v>US</v>
      </c>
    </row>
    <row r="93" spans="3:22" x14ac:dyDescent="0.35">
      <c r="C93" s="5"/>
      <c r="D93" s="5"/>
      <c r="E93" s="5"/>
      <c r="F93" s="7"/>
      <c r="G93" s="5"/>
      <c r="I93" s="6"/>
      <c r="J93" s="5"/>
      <c r="L93" s="5"/>
      <c r="M93" s="7"/>
      <c r="N93" s="5"/>
      <c r="O93" s="5"/>
      <c r="P93" s="5"/>
      <c r="Q93" s="5"/>
      <c r="R93" s="5"/>
      <c r="S93" t="str">
        <v>J5-4898</v>
      </c>
      <c r="T93" t="str">
        <v>J5-4410</v>
      </c>
      <c r="U93" t="str">
        <v>est liée à</v>
      </c>
      <c r="V93" t="str">
        <v>US</v>
      </c>
    </row>
    <row r="94" spans="3:22" x14ac:dyDescent="0.35">
      <c r="C94" s="5"/>
      <c r="D94" s="5"/>
      <c r="E94" s="5"/>
      <c r="F94" s="7"/>
      <c r="G94" s="5"/>
      <c r="I94" s="6"/>
      <c r="J94" s="5"/>
      <c r="L94" s="5"/>
      <c r="M94" s="7"/>
      <c r="N94" s="5"/>
      <c r="O94" s="5"/>
      <c r="P94" s="5"/>
      <c r="Q94" s="5"/>
      <c r="R94" s="5"/>
      <c r="S94" t="str">
        <v>J5-4896</v>
      </c>
      <c r="T94" t="str">
        <v>J5-4640</v>
      </c>
      <c r="U94" t="str">
        <v>Initiation</v>
      </c>
      <c r="V94" t="str">
        <v>US</v>
      </c>
    </row>
    <row r="95" spans="3:22" x14ac:dyDescent="0.35">
      <c r="C95" s="5"/>
      <c r="D95" s="5"/>
      <c r="E95" s="5"/>
      <c r="F95" s="7"/>
      <c r="G95" s="5"/>
      <c r="I95" s="6"/>
      <c r="J95" s="5"/>
      <c r="L95" s="5"/>
      <c r="M95" s="7"/>
      <c r="N95" s="5"/>
      <c r="O95" s="5"/>
      <c r="P95" s="5"/>
      <c r="Q95" s="5"/>
      <c r="R95" s="5"/>
      <c r="S95" t="str">
        <v>J5-4743</v>
      </c>
      <c r="T95" t="str">
        <v>J5-4744</v>
      </c>
      <c r="U95" t="str">
        <v>is tested by</v>
      </c>
      <c r="V95" t="str">
        <v>US</v>
      </c>
    </row>
    <row r="96" spans="3:22" x14ac:dyDescent="0.35">
      <c r="C96" s="5"/>
      <c r="D96" s="5"/>
      <c r="E96" s="5"/>
      <c r="F96" s="7"/>
      <c r="G96" s="5"/>
      <c r="I96" s="6"/>
      <c r="J96" s="5"/>
      <c r="L96" s="5"/>
      <c r="M96" s="7"/>
      <c r="N96" s="5"/>
      <c r="O96" s="5"/>
      <c r="P96" s="5"/>
      <c r="Q96" s="5"/>
      <c r="R96" s="5"/>
      <c r="S96" t="str">
        <v>J5-4640</v>
      </c>
      <c r="T96" t="str">
        <v>J5-4896</v>
      </c>
      <c r="U96" t="str">
        <v>Initiation</v>
      </c>
      <c r="V96" t="str">
        <v>US</v>
      </c>
    </row>
    <row r="97" spans="3:22" x14ac:dyDescent="0.35">
      <c r="C97" s="5"/>
      <c r="D97" s="5"/>
      <c r="E97" s="5"/>
      <c r="F97" s="7"/>
      <c r="G97" s="5"/>
      <c r="I97" s="6"/>
      <c r="J97" s="5"/>
      <c r="L97" s="5"/>
      <c r="M97" s="7"/>
      <c r="N97" s="5"/>
      <c r="O97" s="5"/>
      <c r="P97" s="5"/>
      <c r="Q97" s="5"/>
      <c r="R97" s="5"/>
      <c r="S97" t="str">
        <v>J5-4640</v>
      </c>
      <c r="T97" t="str">
        <v>J5-4898</v>
      </c>
      <c r="U97" t="str">
        <v>Initiation</v>
      </c>
      <c r="V97" t="str">
        <v>US</v>
      </c>
    </row>
    <row r="98" spans="3:22" x14ac:dyDescent="0.35">
      <c r="C98" s="5"/>
      <c r="D98" s="5"/>
      <c r="E98" s="5"/>
      <c r="F98" s="7"/>
      <c r="G98" s="5"/>
      <c r="I98" s="6"/>
      <c r="J98" s="5"/>
      <c r="L98" s="5"/>
      <c r="M98" s="7"/>
      <c r="N98" s="5"/>
      <c r="O98" s="5"/>
      <c r="P98" s="5"/>
      <c r="Q98" s="5"/>
      <c r="R98" s="5"/>
      <c r="S98" t="str">
        <v>J5-4640</v>
      </c>
      <c r="T98" t="str">
        <v>J5-4899</v>
      </c>
      <c r="U98" t="str">
        <v>Initiation</v>
      </c>
      <c r="V98" t="str">
        <v>US</v>
      </c>
    </row>
    <row r="99" spans="3:22" x14ac:dyDescent="0.35">
      <c r="C99" s="5"/>
      <c r="D99" s="5"/>
      <c r="E99" s="5"/>
      <c r="F99" s="7"/>
      <c r="G99" s="5"/>
      <c r="I99" s="6"/>
      <c r="J99" s="5"/>
      <c r="L99" s="5"/>
      <c r="M99" s="7"/>
      <c r="N99" s="5"/>
      <c r="O99" s="5"/>
      <c r="P99" s="5"/>
      <c r="Q99" s="5"/>
      <c r="R99" s="5"/>
      <c r="S99" t="str">
        <v>J5-4640</v>
      </c>
      <c r="T99" t="str">
        <v>J5-4900</v>
      </c>
      <c r="U99" t="str">
        <v>Initiation</v>
      </c>
      <c r="V99" t="str">
        <v>US</v>
      </c>
    </row>
    <row r="100" spans="3:22" x14ac:dyDescent="0.35">
      <c r="C100" s="5"/>
      <c r="D100" s="5"/>
      <c r="E100" s="5"/>
      <c r="F100" s="7"/>
      <c r="G100" s="5"/>
      <c r="I100" s="6"/>
      <c r="J100" s="5"/>
      <c r="L100" s="5"/>
      <c r="M100" s="7"/>
      <c r="N100" s="5"/>
      <c r="O100" s="5"/>
      <c r="P100" s="5"/>
      <c r="Q100" s="5"/>
      <c r="R100" s="5"/>
      <c r="S100" t="str">
        <v>J5-4629</v>
      </c>
      <c r="T100" t="str">
        <v>J5-3879</v>
      </c>
      <c r="U100" t="str">
        <v>est liée à</v>
      </c>
      <c r="V100" t="str">
        <v>US</v>
      </c>
    </row>
    <row r="101" spans="3:22" x14ac:dyDescent="0.35">
      <c r="C101" s="5"/>
      <c r="D101" s="5"/>
      <c r="E101" s="5"/>
      <c r="F101" s="7"/>
      <c r="G101" s="5"/>
      <c r="I101" s="6"/>
      <c r="J101" s="5"/>
      <c r="L101" s="5"/>
      <c r="M101" s="7"/>
      <c r="N101" s="5"/>
      <c r="O101" s="5"/>
      <c r="P101" s="5"/>
      <c r="Q101" s="5"/>
      <c r="R101" s="5"/>
      <c r="S101" t="str">
        <v>J5-4629</v>
      </c>
      <c r="T101" t="str">
        <v>J5-4937</v>
      </c>
      <c r="U101" t="str">
        <v>is tested by</v>
      </c>
      <c r="V101" t="str">
        <v>US</v>
      </c>
    </row>
    <row r="102" spans="3:22" x14ac:dyDescent="0.35">
      <c r="C102" s="5"/>
      <c r="D102" s="5"/>
      <c r="E102" s="5"/>
      <c r="F102" s="7"/>
      <c r="G102" s="5"/>
      <c r="I102" s="6"/>
      <c r="J102" s="5"/>
      <c r="L102" s="5"/>
      <c r="M102" s="7"/>
      <c r="N102" s="5"/>
      <c r="O102" s="5"/>
      <c r="P102" s="5"/>
      <c r="Q102" s="5"/>
      <c r="R102" s="5"/>
      <c r="S102" t="str">
        <v>J5-4625</v>
      </c>
      <c r="T102" t="str">
        <v>J5-3879</v>
      </c>
      <c r="U102" t="str">
        <v>est liée à</v>
      </c>
      <c r="V102" t="str">
        <v>US</v>
      </c>
    </row>
    <row r="103" spans="3:22" x14ac:dyDescent="0.35">
      <c r="C103" s="5"/>
      <c r="D103" s="5"/>
      <c r="E103" s="5"/>
      <c r="F103" s="7"/>
      <c r="G103" s="5"/>
      <c r="I103" s="6"/>
      <c r="J103" s="5"/>
      <c r="L103" s="5"/>
      <c r="M103" s="7"/>
      <c r="N103" s="5"/>
      <c r="O103" s="5"/>
      <c r="P103" s="5"/>
      <c r="Q103" s="5"/>
      <c r="R103" s="5"/>
      <c r="S103" t="str">
        <v>J5-4624</v>
      </c>
      <c r="T103" t="str">
        <v>J5-3879</v>
      </c>
      <c r="U103" t="str">
        <v>est liée à</v>
      </c>
      <c r="V103" t="str">
        <v>US</v>
      </c>
    </row>
    <row r="104" spans="3:22" x14ac:dyDescent="0.35">
      <c r="C104" s="5"/>
      <c r="D104" s="5"/>
      <c r="E104" s="5"/>
      <c r="F104" s="7"/>
      <c r="G104" s="5"/>
      <c r="I104" s="6"/>
      <c r="J104" s="5"/>
      <c r="L104" s="5"/>
      <c r="M104" s="7"/>
      <c r="N104" s="5"/>
      <c r="O104" s="5"/>
      <c r="P104" s="5"/>
      <c r="Q104" s="5"/>
      <c r="R104" s="5"/>
      <c r="S104" t="str">
        <v>J5-4624</v>
      </c>
      <c r="T104" t="str">
        <v>J5-4936</v>
      </c>
      <c r="U104" t="str">
        <v>is tested by</v>
      </c>
      <c r="V104" t="str">
        <v>US</v>
      </c>
    </row>
    <row r="105" spans="3:22" x14ac:dyDescent="0.35">
      <c r="C105" s="5"/>
      <c r="D105" s="5"/>
      <c r="E105" s="5"/>
      <c r="F105" s="7"/>
      <c r="G105" s="5"/>
      <c r="I105" s="6"/>
      <c r="J105" s="5"/>
      <c r="L105" s="5"/>
      <c r="M105" s="7"/>
      <c r="N105" s="5"/>
      <c r="O105" s="5"/>
      <c r="P105" s="5"/>
      <c r="Q105" s="5"/>
      <c r="R105" s="5"/>
      <c r="S105" t="str">
        <v>J5-4557</v>
      </c>
      <c r="T105" t="str">
        <v>J5-4556</v>
      </c>
      <c r="U105" t="str">
        <v>est liée à</v>
      </c>
      <c r="V105" t="str">
        <v>US</v>
      </c>
    </row>
    <row r="106" spans="3:22" x14ac:dyDescent="0.35">
      <c r="C106" s="5"/>
      <c r="D106" s="5"/>
      <c r="E106" s="5"/>
      <c r="F106" s="7"/>
      <c r="G106" s="5"/>
      <c r="I106" s="6"/>
      <c r="J106" s="5"/>
      <c r="L106" s="5"/>
      <c r="M106" s="7"/>
      <c r="N106" s="5"/>
      <c r="O106" s="5"/>
      <c r="P106" s="5"/>
      <c r="Q106" s="5"/>
      <c r="R106" s="5"/>
      <c r="S106" t="str">
        <v>J5-4556</v>
      </c>
      <c r="T106" t="str">
        <v>J5-4557</v>
      </c>
      <c r="U106" t="str">
        <v>lie</v>
      </c>
      <c r="V106" t="str">
        <v>US</v>
      </c>
    </row>
    <row r="107" spans="3:22" x14ac:dyDescent="0.35">
      <c r="C107" s="5"/>
      <c r="D107" s="5"/>
      <c r="E107" s="5"/>
      <c r="F107" s="7"/>
      <c r="G107" s="5"/>
      <c r="I107" s="6"/>
      <c r="J107" s="5"/>
      <c r="L107" s="5"/>
      <c r="M107" s="7"/>
      <c r="N107" s="5"/>
      <c r="O107" s="5"/>
      <c r="P107" s="5"/>
      <c r="Q107" s="5"/>
      <c r="R107" s="5"/>
      <c r="S107" t="str">
        <v>J5-4539</v>
      </c>
      <c r="T107" t="str">
        <v>J5-3682</v>
      </c>
      <c r="U107" t="str">
        <v>est liée à</v>
      </c>
      <c r="V107" t="str">
        <v>US</v>
      </c>
    </row>
    <row r="108" spans="3:22" x14ac:dyDescent="0.35">
      <c r="C108" s="5"/>
      <c r="D108" s="5"/>
      <c r="E108" s="5"/>
      <c r="F108" s="7"/>
      <c r="G108" s="5"/>
      <c r="I108" s="6"/>
      <c r="J108" s="5"/>
      <c r="L108" s="5"/>
      <c r="M108" s="7"/>
      <c r="N108" s="5"/>
      <c r="O108" s="5"/>
      <c r="P108" s="5"/>
      <c r="Q108" s="5"/>
      <c r="R108" s="5"/>
      <c r="S108" t="str">
        <v>J5-4258</v>
      </c>
      <c r="T108" t="str">
        <v>J5-5069</v>
      </c>
      <c r="U108" t="str">
        <v>is tested by</v>
      </c>
      <c r="V108" t="str">
        <v>US</v>
      </c>
    </row>
    <row r="109" spans="3:22" x14ac:dyDescent="0.35">
      <c r="C109" s="5"/>
      <c r="D109" s="5"/>
      <c r="E109" s="5"/>
      <c r="F109" s="7"/>
      <c r="G109" s="5"/>
      <c r="I109" s="6"/>
      <c r="J109" s="5"/>
      <c r="L109" s="5"/>
      <c r="M109" s="7"/>
      <c r="N109" s="5"/>
      <c r="O109" s="5"/>
      <c r="P109" s="5"/>
      <c r="Q109" s="5"/>
      <c r="R109" s="5"/>
      <c r="S109" t="str">
        <v>J5-4254</v>
      </c>
      <c r="T109" t="str">
        <v>J5-5121</v>
      </c>
      <c r="U109" t="str">
        <v>is tested by</v>
      </c>
      <c r="V109" t="str">
        <v>US</v>
      </c>
    </row>
    <row r="110" spans="3:22" x14ac:dyDescent="0.35">
      <c r="C110" s="5"/>
      <c r="D110" s="5"/>
      <c r="E110" s="5"/>
      <c r="F110" s="7"/>
      <c r="G110" s="5"/>
      <c r="I110" s="6"/>
      <c r="J110" s="5"/>
      <c r="L110" s="5"/>
      <c r="M110" s="7"/>
      <c r="N110" s="5"/>
      <c r="O110" s="5"/>
      <c r="P110" s="5"/>
      <c r="Q110" s="5"/>
      <c r="R110" s="5"/>
      <c r="S110" t="str">
        <v>J5-4198</v>
      </c>
      <c r="T110" t="str">
        <v>J5-3449</v>
      </c>
      <c r="U110" t="str">
        <v>is tested by</v>
      </c>
      <c r="V110" t="str">
        <v>US</v>
      </c>
    </row>
    <row r="111" spans="3:22" x14ac:dyDescent="0.35">
      <c r="C111" s="5"/>
      <c r="D111" s="5"/>
      <c r="E111" s="5"/>
      <c r="F111" s="7"/>
      <c r="G111" s="5"/>
      <c r="I111" s="6"/>
      <c r="J111" s="5"/>
      <c r="L111" s="5"/>
      <c r="M111" s="7"/>
      <c r="N111" s="5"/>
      <c r="O111" s="5"/>
      <c r="P111" s="5"/>
      <c r="Q111" s="5"/>
      <c r="R111" s="5"/>
      <c r="S111" t="str">
        <v>J5-4198</v>
      </c>
      <c r="T111" t="str">
        <v>J5-4239</v>
      </c>
      <c r="U111" t="str">
        <v>est liée à</v>
      </c>
      <c r="V111" t="str">
        <v>US</v>
      </c>
    </row>
    <row r="112" spans="3:22" x14ac:dyDescent="0.35">
      <c r="C112" s="5"/>
      <c r="D112" s="5"/>
      <c r="E112" s="5"/>
      <c r="F112" s="7"/>
      <c r="G112" s="5"/>
      <c r="I112" s="6"/>
      <c r="J112" s="5"/>
      <c r="L112" s="5"/>
      <c r="M112" s="7"/>
      <c r="N112" s="5"/>
      <c r="O112" s="5"/>
      <c r="P112" s="5"/>
      <c r="Q112" s="5"/>
      <c r="R112" s="5"/>
      <c r="S112" t="str">
        <v>J5-4181</v>
      </c>
      <c r="T112" t="str">
        <v>J5-5123</v>
      </c>
      <c r="U112" t="str">
        <v>is tested by</v>
      </c>
      <c r="V112" t="str">
        <v>US</v>
      </c>
    </row>
    <row r="113" spans="3:22" x14ac:dyDescent="0.35">
      <c r="C113" s="5"/>
      <c r="D113" s="5"/>
      <c r="E113" s="5"/>
      <c r="F113" s="7"/>
      <c r="G113" s="5"/>
      <c r="I113" s="6"/>
      <c r="J113" s="5"/>
      <c r="L113" s="5"/>
      <c r="M113" s="7"/>
      <c r="N113" s="5"/>
      <c r="O113" s="5"/>
      <c r="P113" s="5"/>
      <c r="Q113" s="5"/>
      <c r="R113" s="5"/>
      <c r="S113" t="str">
        <v>J5-4157</v>
      </c>
      <c r="T113" t="str">
        <v>J5-3957</v>
      </c>
      <c r="U113" t="str">
        <v>est liée à</v>
      </c>
      <c r="V113" t="str">
        <v>US</v>
      </c>
    </row>
    <row r="114" spans="3:22" x14ac:dyDescent="0.35">
      <c r="C114" s="5"/>
      <c r="D114" s="5"/>
      <c r="E114" s="5"/>
      <c r="F114" s="7"/>
      <c r="G114" s="5"/>
      <c r="I114" s="6"/>
      <c r="J114" s="5"/>
      <c r="L114" s="5"/>
      <c r="M114" s="7"/>
      <c r="N114" s="5"/>
      <c r="O114" s="5"/>
      <c r="P114" s="5"/>
      <c r="Q114" s="5"/>
      <c r="R114" s="5"/>
      <c r="S114" t="str">
        <v>J5-2761</v>
      </c>
      <c r="T114" t="str">
        <v>J5-2746</v>
      </c>
      <c r="U114" t="str">
        <v>est liée à</v>
      </c>
      <c r="V114" t="str">
        <v>US</v>
      </c>
    </row>
    <row r="115" spans="3:22" x14ac:dyDescent="0.35">
      <c r="C115" s="5"/>
      <c r="D115" s="5"/>
      <c r="E115" s="5"/>
      <c r="F115" s="7"/>
      <c r="G115" s="5"/>
      <c r="I115" s="6"/>
      <c r="J115" s="5"/>
      <c r="L115" s="5"/>
      <c r="M115" s="7"/>
      <c r="N115" s="5"/>
      <c r="O115" s="5"/>
      <c r="P115" s="5"/>
      <c r="Q115" s="5"/>
      <c r="R115" s="5"/>
      <c r="S115" t="str">
        <v>J5-2594</v>
      </c>
      <c r="T115" t="str">
        <v>J5-2591</v>
      </c>
      <c r="U115" t="str">
        <v>split from</v>
      </c>
      <c r="V115" t="str">
        <v>US</v>
      </c>
    </row>
    <row r="116" spans="3:22" x14ac:dyDescent="0.35">
      <c r="C116" s="5"/>
      <c r="D116" s="5"/>
      <c r="E116" s="5"/>
      <c r="F116" s="7"/>
      <c r="G116" s="5"/>
      <c r="I116" s="6"/>
      <c r="J116" s="5"/>
      <c r="L116" s="5"/>
      <c r="M116" s="7"/>
      <c r="N116" s="5"/>
      <c r="O116" s="5"/>
      <c r="P116" s="5"/>
      <c r="Q116" s="5"/>
      <c r="R116" s="5"/>
      <c r="S116" t="str">
        <v>J5-2594</v>
      </c>
      <c r="T116" t="str">
        <v>J5-2593</v>
      </c>
      <c r="U116" t="str">
        <v>lie</v>
      </c>
      <c r="V116" t="str">
        <v>US</v>
      </c>
    </row>
    <row r="117" spans="3:22" x14ac:dyDescent="0.35">
      <c r="C117" s="5"/>
      <c r="D117" s="5"/>
      <c r="E117" s="5"/>
      <c r="F117" s="7"/>
      <c r="G117" s="5"/>
      <c r="I117" s="6"/>
      <c r="J117" s="5"/>
      <c r="L117" s="5"/>
      <c r="M117" s="7"/>
      <c r="N117" s="5"/>
      <c r="O117" s="5"/>
      <c r="P117" s="5"/>
      <c r="Q117" s="5"/>
      <c r="R117" s="5"/>
    </row>
    <row r="118" spans="3:22" x14ac:dyDescent="0.35">
      <c r="C118" s="5"/>
      <c r="D118" s="5"/>
      <c r="E118" s="5"/>
      <c r="F118" s="7"/>
      <c r="G118" s="5"/>
      <c r="I118" s="6"/>
      <c r="J118" s="5"/>
      <c r="L118" s="5"/>
      <c r="M118" s="7"/>
      <c r="N118" s="5"/>
      <c r="O118" s="5"/>
      <c r="P118" s="5"/>
      <c r="Q118" s="5"/>
      <c r="R118" s="5"/>
    </row>
    <row r="119" spans="3:22" x14ac:dyDescent="0.35">
      <c r="C119" s="5"/>
      <c r="D119" s="5"/>
      <c r="E119" s="5"/>
      <c r="F119" s="7"/>
      <c r="G119" s="5"/>
      <c r="I119" s="6"/>
      <c r="J119" s="5"/>
      <c r="L119" s="5"/>
      <c r="M119" s="7"/>
      <c r="N119" s="5"/>
      <c r="O119" s="5"/>
      <c r="P119" s="5"/>
      <c r="Q119" s="5"/>
      <c r="R119" s="5"/>
    </row>
    <row r="120" spans="3:22" x14ac:dyDescent="0.35">
      <c r="C120" s="5"/>
      <c r="D120" s="5"/>
      <c r="E120" s="5"/>
      <c r="F120" s="7"/>
      <c r="G120" s="5"/>
      <c r="I120" s="6"/>
      <c r="J120" s="5"/>
      <c r="L120" s="5"/>
      <c r="M120" s="7"/>
      <c r="N120" s="5"/>
      <c r="O120" s="5"/>
      <c r="P120" s="5"/>
      <c r="Q120" s="5"/>
      <c r="R120" s="5"/>
    </row>
    <row r="121" spans="3:22" x14ac:dyDescent="0.35">
      <c r="C121" s="5"/>
      <c r="D121" s="5"/>
      <c r="E121" s="5"/>
      <c r="F121" s="7"/>
      <c r="G121" s="5"/>
      <c r="I121" s="6"/>
      <c r="J121" s="5"/>
      <c r="L121" s="5"/>
      <c r="M121" s="7"/>
      <c r="N121" s="5"/>
      <c r="O121" s="5"/>
      <c r="P121" s="5"/>
      <c r="Q121" s="5"/>
      <c r="R121" s="5"/>
    </row>
    <row r="122" spans="3:22" x14ac:dyDescent="0.35">
      <c r="C122" s="5"/>
      <c r="D122" s="5"/>
      <c r="E122" s="5"/>
      <c r="F122" s="7"/>
      <c r="G122" s="5"/>
      <c r="I122" s="6"/>
      <c r="J122" s="5"/>
      <c r="L122" s="5"/>
      <c r="M122" s="7"/>
      <c r="N122" s="5"/>
      <c r="O122" s="5"/>
      <c r="P122" s="5"/>
      <c r="Q122" s="5"/>
      <c r="R122" s="5"/>
    </row>
    <row r="123" spans="3:22" x14ac:dyDescent="0.35">
      <c r="C123" s="5"/>
      <c r="D123" s="5"/>
      <c r="E123" s="5"/>
      <c r="F123" s="7"/>
      <c r="G123" s="5"/>
      <c r="I123" s="6"/>
      <c r="J123" s="5"/>
      <c r="L123" s="5"/>
      <c r="M123" s="7"/>
      <c r="N123" s="5"/>
      <c r="O123" s="5"/>
      <c r="P123" s="5"/>
      <c r="Q123" s="5"/>
      <c r="R123" s="5"/>
    </row>
    <row r="124" spans="3:22" x14ac:dyDescent="0.35">
      <c r="C124" s="5"/>
      <c r="D124" s="5"/>
      <c r="E124" s="5"/>
      <c r="F124" s="7"/>
      <c r="G124" s="5"/>
      <c r="I124" s="6"/>
      <c r="J124" s="5"/>
      <c r="L124" s="5"/>
      <c r="M124" s="7"/>
      <c r="N124" s="5"/>
      <c r="O124" s="5"/>
      <c r="P124" s="5"/>
      <c r="Q124" s="5"/>
      <c r="R124" s="5"/>
    </row>
    <row r="125" spans="3:22" x14ac:dyDescent="0.35">
      <c r="C125" s="5"/>
      <c r="D125" s="5"/>
      <c r="E125" s="5"/>
      <c r="F125" s="7"/>
      <c r="G125" s="5"/>
      <c r="I125" s="6"/>
      <c r="J125" s="5"/>
      <c r="L125" s="5"/>
      <c r="M125" s="7"/>
      <c r="N125" s="5"/>
      <c r="O125" s="5"/>
      <c r="P125" s="5"/>
      <c r="Q125" s="5"/>
      <c r="R125" s="5"/>
    </row>
    <row r="126" spans="3:22" x14ac:dyDescent="0.35">
      <c r="C126" s="5"/>
      <c r="D126" s="5"/>
      <c r="E126" s="5"/>
      <c r="F126" s="7"/>
      <c r="G126" s="5"/>
      <c r="I126" s="6"/>
      <c r="J126" s="5"/>
      <c r="L126" s="5"/>
      <c r="M126" s="7"/>
      <c r="N126" s="5"/>
      <c r="O126" s="5"/>
      <c r="P126" s="5"/>
      <c r="Q126" s="5"/>
      <c r="R126" s="5"/>
    </row>
    <row r="127" spans="3:22" x14ac:dyDescent="0.35">
      <c r="C127" s="5"/>
      <c r="D127" s="5"/>
      <c r="E127" s="5"/>
      <c r="F127" s="7"/>
      <c r="G127" s="5"/>
      <c r="I127" s="6"/>
      <c r="J127" s="5"/>
      <c r="L127" s="5"/>
      <c r="M127" s="7"/>
      <c r="N127" s="5"/>
      <c r="O127" s="5"/>
      <c r="P127" s="5"/>
      <c r="Q127" s="5"/>
      <c r="R127" s="5"/>
    </row>
    <row r="128" spans="3:22" x14ac:dyDescent="0.35">
      <c r="C128" s="5"/>
      <c r="D128" s="5"/>
      <c r="E128" s="5"/>
      <c r="F128" s="7"/>
      <c r="G128" s="5"/>
      <c r="I128" s="6"/>
      <c r="J128" s="5"/>
      <c r="L128" s="5"/>
      <c r="M128" s="7"/>
      <c r="N128" s="5"/>
      <c r="O128" s="5"/>
      <c r="P128" s="5"/>
      <c r="Q128" s="5"/>
      <c r="R128" s="5"/>
    </row>
    <row r="129" spans="3:18" x14ac:dyDescent="0.35">
      <c r="C129" s="5"/>
      <c r="D129" s="5"/>
      <c r="E129" s="5"/>
      <c r="F129" s="7"/>
      <c r="G129" s="5"/>
      <c r="I129" s="6"/>
      <c r="J129" s="5"/>
      <c r="L129" s="5"/>
      <c r="M129" s="7"/>
      <c r="N129" s="5"/>
      <c r="O129" s="5"/>
      <c r="P129" s="5"/>
      <c r="Q129" s="5"/>
      <c r="R129" s="5"/>
    </row>
    <row r="130" spans="3:18" x14ac:dyDescent="0.35">
      <c r="C130" s="5"/>
      <c r="D130" s="5"/>
      <c r="E130" s="5"/>
      <c r="F130" s="7"/>
      <c r="G130" s="5"/>
      <c r="I130" s="6"/>
      <c r="J130" s="5"/>
      <c r="L130" s="5"/>
      <c r="M130" s="7"/>
      <c r="N130" s="5"/>
      <c r="O130" s="5"/>
      <c r="P130" s="5"/>
      <c r="Q130" s="5"/>
      <c r="R130" s="5"/>
    </row>
    <row r="131" spans="3:18" x14ac:dyDescent="0.35">
      <c r="C131" s="5"/>
      <c r="D131" s="5"/>
      <c r="E131" s="5"/>
      <c r="F131" s="7"/>
      <c r="G131" s="5"/>
      <c r="I131" s="6"/>
      <c r="J131" s="5"/>
      <c r="L131" s="5"/>
      <c r="M131" s="7"/>
      <c r="N131" s="5"/>
      <c r="O131" s="5"/>
      <c r="P131" s="5"/>
      <c r="Q131" s="5"/>
      <c r="R131" s="5"/>
    </row>
    <row r="132" spans="3:18" x14ac:dyDescent="0.35">
      <c r="C132" s="5"/>
      <c r="D132" s="5"/>
      <c r="E132" s="5"/>
      <c r="F132" s="7"/>
      <c r="G132" s="5"/>
      <c r="I132" s="6"/>
      <c r="J132" s="5"/>
      <c r="L132" s="5"/>
      <c r="M132" s="7"/>
      <c r="N132" s="5"/>
      <c r="O132" s="5"/>
      <c r="P132" s="5"/>
      <c r="Q132" s="5"/>
      <c r="R132" s="5"/>
    </row>
    <row r="133" spans="3:18" x14ac:dyDescent="0.35">
      <c r="C133" s="5"/>
      <c r="D133" s="5"/>
      <c r="E133" s="5"/>
      <c r="F133" s="7"/>
      <c r="G133" s="5"/>
      <c r="I133" s="6"/>
      <c r="J133" s="5"/>
      <c r="L133" s="5"/>
      <c r="M133" s="7"/>
      <c r="N133" s="5"/>
      <c r="O133" s="5"/>
      <c r="P133" s="5"/>
      <c r="Q133" s="5"/>
      <c r="R133" s="5"/>
    </row>
    <row r="134" spans="3:18" x14ac:dyDescent="0.35">
      <c r="C134" s="5"/>
      <c r="D134" s="5"/>
      <c r="E134" s="5"/>
      <c r="F134" s="7"/>
      <c r="G134" s="5"/>
      <c r="I134" s="6"/>
      <c r="J134" s="5"/>
      <c r="L134" s="5"/>
      <c r="M134" s="7"/>
      <c r="N134" s="5"/>
      <c r="O134" s="5"/>
      <c r="P134" s="5"/>
      <c r="Q134" s="5"/>
      <c r="R134" s="5"/>
    </row>
    <row r="135" spans="3:18" x14ac:dyDescent="0.35">
      <c r="C135" s="5"/>
      <c r="D135" s="5"/>
      <c r="E135" s="5"/>
      <c r="F135" s="7"/>
      <c r="G135" s="5"/>
      <c r="I135" s="6"/>
      <c r="J135" s="5"/>
      <c r="L135" s="5"/>
      <c r="M135" s="7"/>
      <c r="N135" s="5"/>
      <c r="O135" s="5"/>
      <c r="P135" s="5"/>
      <c r="Q135" s="5"/>
      <c r="R135" s="5"/>
    </row>
    <row r="136" spans="3:18" x14ac:dyDescent="0.35">
      <c r="C136" s="5"/>
      <c r="D136" s="5"/>
      <c r="E136" s="5"/>
      <c r="F136" s="7"/>
      <c r="G136" s="5"/>
      <c r="I136" s="6"/>
      <c r="J136" s="5"/>
      <c r="L136" s="5"/>
      <c r="M136" s="7"/>
      <c r="N136" s="5"/>
      <c r="O136" s="5"/>
      <c r="P136" s="5"/>
      <c r="Q136" s="5"/>
      <c r="R136" s="5"/>
    </row>
    <row r="137" spans="3:18" x14ac:dyDescent="0.35">
      <c r="C137" s="5"/>
      <c r="D137" s="5"/>
      <c r="E137" s="5"/>
      <c r="F137" s="7"/>
      <c r="G137" s="5"/>
      <c r="I137" s="6"/>
      <c r="J137" s="5"/>
      <c r="L137" s="5"/>
      <c r="M137" s="7"/>
      <c r="N137" s="5"/>
      <c r="O137" s="5"/>
      <c r="P137" s="5"/>
      <c r="Q137" s="5"/>
      <c r="R137" s="5"/>
    </row>
    <row r="138" spans="3:18" x14ac:dyDescent="0.35">
      <c r="C138" s="5"/>
      <c r="D138" s="5"/>
      <c r="E138" s="5"/>
      <c r="F138" s="7"/>
      <c r="G138" s="5"/>
      <c r="I138" s="6"/>
      <c r="J138" s="5"/>
      <c r="L138" s="5"/>
      <c r="M138" s="7"/>
      <c r="N138" s="5"/>
      <c r="O138" s="5"/>
      <c r="P138" s="5"/>
      <c r="Q138" s="5"/>
      <c r="R138" s="5"/>
    </row>
    <row r="139" spans="3:18" x14ac:dyDescent="0.35">
      <c r="C139" s="5"/>
      <c r="D139" s="5"/>
      <c r="E139" s="5"/>
      <c r="F139" s="7"/>
      <c r="G139" s="5"/>
      <c r="I139" s="6"/>
      <c r="J139" s="5"/>
      <c r="L139" s="5"/>
      <c r="M139" s="7"/>
      <c r="N139" s="5"/>
      <c r="O139" s="5"/>
      <c r="P139" s="5"/>
      <c r="Q139" s="5"/>
      <c r="R139" s="5"/>
    </row>
    <row r="140" spans="3:18" x14ac:dyDescent="0.35">
      <c r="C140" s="5"/>
      <c r="D140" s="5"/>
      <c r="E140" s="5"/>
      <c r="F140" s="7"/>
      <c r="G140" s="5"/>
      <c r="I140" s="6"/>
      <c r="J140" s="5"/>
      <c r="L140" s="5"/>
      <c r="M140" s="7"/>
      <c r="N140" s="5"/>
      <c r="O140" s="5"/>
      <c r="P140" s="5"/>
      <c r="Q140" s="5"/>
      <c r="R140" s="5"/>
    </row>
    <row r="141" spans="3:18" x14ac:dyDescent="0.35">
      <c r="C141" s="5"/>
      <c r="D141" s="5"/>
      <c r="E141" s="5"/>
      <c r="F141" s="7"/>
      <c r="G141" s="5"/>
      <c r="I141" s="6"/>
      <c r="J141" s="5"/>
      <c r="L141" s="5"/>
      <c r="M141" s="7"/>
      <c r="N141" s="5"/>
      <c r="O141" s="5"/>
      <c r="P141" s="5"/>
      <c r="Q141" s="5"/>
      <c r="R141" s="5"/>
    </row>
    <row r="142" spans="3:18" x14ac:dyDescent="0.35">
      <c r="C142" s="5"/>
      <c r="D142" s="5"/>
      <c r="E142" s="5"/>
      <c r="F142" s="7"/>
      <c r="G142" s="5"/>
      <c r="I142" s="6"/>
      <c r="J142" s="5"/>
      <c r="L142" s="5"/>
      <c r="M142" s="7"/>
      <c r="N142" s="5"/>
      <c r="O142" s="5"/>
      <c r="P142" s="5"/>
      <c r="Q142" s="5"/>
      <c r="R142" s="5"/>
    </row>
    <row r="143" spans="3:18" x14ac:dyDescent="0.35">
      <c r="C143" s="5"/>
      <c r="D143" s="5"/>
      <c r="E143" s="5"/>
      <c r="F143" s="7"/>
      <c r="G143" s="5"/>
      <c r="I143" s="6"/>
      <c r="J143" s="5"/>
      <c r="L143" s="5"/>
      <c r="M143" s="7"/>
      <c r="N143" s="5"/>
      <c r="O143" s="5"/>
      <c r="P143" s="5"/>
      <c r="Q143" s="5"/>
      <c r="R143" s="5"/>
    </row>
    <row r="144" spans="3:18" x14ac:dyDescent="0.35">
      <c r="C144" s="5"/>
      <c r="D144" s="5"/>
      <c r="E144" s="5"/>
      <c r="F144" s="7"/>
      <c r="G144" s="5"/>
      <c r="I144" s="6"/>
      <c r="J144" s="5"/>
      <c r="L144" s="5"/>
      <c r="M144" s="7"/>
      <c r="N144" s="5"/>
      <c r="O144" s="5"/>
      <c r="P144" s="5"/>
      <c r="Q144" s="5"/>
      <c r="R144" s="5"/>
    </row>
    <row r="145" spans="3:18" x14ac:dyDescent="0.35">
      <c r="C145" s="5"/>
      <c r="D145" s="5"/>
      <c r="E145" s="5"/>
      <c r="F145" s="7"/>
      <c r="G145" s="5"/>
      <c r="I145" s="6"/>
      <c r="J145" s="5"/>
      <c r="L145" s="5"/>
      <c r="M145" s="7"/>
      <c r="N145" s="5"/>
      <c r="O145" s="5"/>
      <c r="P145" s="5"/>
      <c r="Q145" s="5"/>
      <c r="R145" s="5"/>
    </row>
    <row r="146" spans="3:18" x14ac:dyDescent="0.35">
      <c r="C146" s="5"/>
      <c r="D146" s="5"/>
      <c r="E146" s="5"/>
      <c r="F146" s="7"/>
      <c r="G146" s="5"/>
      <c r="I146" s="6"/>
      <c r="J146" s="5"/>
      <c r="L146" s="5"/>
      <c r="M146" s="7"/>
      <c r="N146" s="5"/>
      <c r="O146" s="5"/>
      <c r="P146" s="5"/>
      <c r="Q146" s="5"/>
      <c r="R146" s="5"/>
    </row>
    <row r="147" spans="3:18" x14ac:dyDescent="0.35">
      <c r="C147" s="5"/>
      <c r="D147" s="5"/>
      <c r="E147" s="5"/>
      <c r="F147" s="7"/>
      <c r="G147" s="5"/>
      <c r="I147" s="6"/>
      <c r="J147" s="5"/>
      <c r="L147" s="5"/>
      <c r="M147" s="7"/>
      <c r="N147" s="5"/>
      <c r="O147" s="5"/>
      <c r="P147" s="5"/>
      <c r="Q147" s="5"/>
      <c r="R147" s="5"/>
    </row>
    <row r="148" spans="3:18" x14ac:dyDescent="0.35">
      <c r="C148" s="5"/>
      <c r="D148" s="5"/>
      <c r="E148" s="5"/>
      <c r="F148" s="7"/>
      <c r="G148" s="5"/>
      <c r="I148" s="6"/>
      <c r="J148" s="5"/>
      <c r="L148" s="5"/>
      <c r="M148" s="7"/>
      <c r="N148" s="5"/>
      <c r="O148" s="5"/>
      <c r="P148" s="5"/>
      <c r="Q148" s="5"/>
      <c r="R148" s="5"/>
    </row>
    <row r="149" spans="3:18" x14ac:dyDescent="0.35">
      <c r="C149" s="5"/>
      <c r="D149" s="5"/>
      <c r="E149" s="5"/>
      <c r="F149" s="7"/>
      <c r="G149" s="5"/>
      <c r="I149" s="6"/>
      <c r="J149" s="5"/>
      <c r="L149" s="5"/>
      <c r="M149" s="7"/>
      <c r="N149" s="5"/>
      <c r="O149" s="5"/>
      <c r="P149" s="5"/>
      <c r="Q149" s="5"/>
      <c r="R149" s="5"/>
    </row>
    <row r="150" spans="3:18" x14ac:dyDescent="0.35">
      <c r="C150" s="5"/>
      <c r="D150" s="5"/>
      <c r="E150" s="5"/>
      <c r="F150" s="7"/>
      <c r="G150" s="5"/>
      <c r="I150" s="6"/>
      <c r="J150" s="5"/>
      <c r="L150" s="5"/>
      <c r="M150" s="7"/>
      <c r="N150" s="5"/>
      <c r="O150" s="5"/>
      <c r="P150" s="5"/>
      <c r="Q150" s="5"/>
      <c r="R150" s="5"/>
    </row>
    <row r="151" spans="3:18" x14ac:dyDescent="0.35">
      <c r="C151" s="5"/>
      <c r="D151" s="5"/>
      <c r="E151" s="5"/>
      <c r="F151" s="7"/>
      <c r="G151" s="5"/>
      <c r="I151" s="6"/>
      <c r="J151" s="5"/>
      <c r="L151" s="5"/>
      <c r="M151" s="7"/>
      <c r="N151" s="5"/>
      <c r="O151" s="5"/>
      <c r="P151" s="5"/>
      <c r="Q151" s="5"/>
      <c r="R151" s="5"/>
    </row>
    <row r="152" spans="3:18" x14ac:dyDescent="0.35">
      <c r="C152" s="5"/>
      <c r="D152" s="5"/>
      <c r="E152" s="5"/>
      <c r="F152" s="7"/>
      <c r="G152" s="5"/>
      <c r="I152" s="6"/>
      <c r="J152" s="5"/>
      <c r="L152" s="5"/>
      <c r="M152" s="7"/>
      <c r="N152" s="5"/>
      <c r="O152" s="5"/>
      <c r="P152" s="5"/>
      <c r="Q152" s="5"/>
      <c r="R152" s="5"/>
    </row>
    <row r="153" spans="3:18" x14ac:dyDescent="0.35">
      <c r="C153" s="5"/>
      <c r="D153" s="5"/>
      <c r="E153" s="5"/>
      <c r="F153" s="7"/>
      <c r="G153" s="5"/>
      <c r="I153" s="6"/>
      <c r="J153" s="5"/>
      <c r="L153" s="5"/>
      <c r="M153" s="7"/>
      <c r="N153" s="5"/>
      <c r="O153" s="5"/>
      <c r="P153" s="5"/>
      <c r="Q153" s="5"/>
      <c r="R153" s="5"/>
    </row>
    <row r="154" spans="3:18" x14ac:dyDescent="0.35">
      <c r="C154" s="5"/>
      <c r="D154" s="5"/>
      <c r="E154" s="5"/>
      <c r="F154" s="7"/>
      <c r="G154" s="5"/>
      <c r="I154" s="6"/>
      <c r="J154" s="5"/>
      <c r="L154" s="5"/>
      <c r="M154" s="7"/>
      <c r="N154" s="5"/>
      <c r="O154" s="5"/>
      <c r="P154" s="5"/>
      <c r="Q154" s="5"/>
      <c r="R154" s="5"/>
    </row>
    <row r="155" spans="3:18" x14ac:dyDescent="0.35">
      <c r="C155" s="5"/>
      <c r="D155" s="5"/>
      <c r="E155" s="5"/>
      <c r="F155" s="7"/>
      <c r="G155" s="5"/>
      <c r="I155" s="6"/>
      <c r="J155" s="5"/>
      <c r="L155" s="5"/>
      <c r="M155" s="7"/>
      <c r="N155" s="5"/>
      <c r="O155" s="5"/>
      <c r="P155" s="5"/>
      <c r="Q155" s="5"/>
      <c r="R155" s="5"/>
    </row>
    <row r="156" spans="3:18" x14ac:dyDescent="0.35">
      <c r="C156" s="5"/>
      <c r="D156" s="5"/>
      <c r="E156" s="5"/>
      <c r="F156" s="7"/>
      <c r="G156" s="5"/>
      <c r="I156" s="6"/>
      <c r="J156" s="5"/>
      <c r="L156" s="5"/>
      <c r="M156" s="7"/>
      <c r="N156" s="5"/>
      <c r="O156" s="5"/>
      <c r="P156" s="5"/>
      <c r="Q156" s="5"/>
      <c r="R156" s="5"/>
    </row>
    <row r="157" spans="3:18" x14ac:dyDescent="0.35">
      <c r="C157" s="5"/>
      <c r="D157" s="5"/>
      <c r="E157" s="5"/>
      <c r="F157" s="7"/>
      <c r="G157" s="5"/>
      <c r="I157" s="6"/>
      <c r="J157" s="5"/>
      <c r="L157" s="5"/>
      <c r="M157" s="7"/>
      <c r="N157" s="5"/>
      <c r="O157" s="5"/>
      <c r="P157" s="5"/>
      <c r="Q157" s="5"/>
      <c r="R157" s="5"/>
    </row>
    <row r="158" spans="3:18" x14ac:dyDescent="0.35">
      <c r="C158" s="5"/>
      <c r="D158" s="5"/>
      <c r="E158" s="5"/>
      <c r="F158" s="7"/>
      <c r="G158" s="5"/>
      <c r="I158" s="6"/>
      <c r="J158" s="5"/>
      <c r="L158" s="5"/>
      <c r="M158" s="7"/>
      <c r="N158" s="5"/>
      <c r="O158" s="5"/>
      <c r="P158" s="5"/>
      <c r="Q158" s="5"/>
      <c r="R158" s="5"/>
    </row>
    <row r="159" spans="3:18" x14ac:dyDescent="0.35">
      <c r="C159" s="5"/>
      <c r="D159" s="5"/>
      <c r="E159" s="5"/>
      <c r="F159" s="7"/>
      <c r="G159" s="5"/>
      <c r="I159" s="6"/>
      <c r="J159" s="5"/>
      <c r="L159" s="5"/>
      <c r="M159" s="7"/>
      <c r="N159" s="5"/>
      <c r="O159" s="5"/>
      <c r="P159" s="5"/>
      <c r="Q159" s="5"/>
      <c r="R159" s="5"/>
    </row>
    <row r="160" spans="3:18" x14ac:dyDescent="0.35">
      <c r="C160" s="5"/>
      <c r="D160" s="5"/>
      <c r="E160" s="5"/>
      <c r="F160" s="7"/>
      <c r="G160" s="5"/>
      <c r="I160" s="6"/>
      <c r="J160" s="5"/>
      <c r="L160" s="5"/>
      <c r="M160" s="7"/>
      <c r="N160" s="5"/>
      <c r="O160" s="5"/>
      <c r="P160" s="5"/>
      <c r="Q160" s="5"/>
      <c r="R160" s="5"/>
    </row>
    <row r="161" spans="3:18" x14ac:dyDescent="0.35">
      <c r="C161" s="5"/>
      <c r="D161" s="5"/>
      <c r="E161" s="5"/>
      <c r="F161" s="7"/>
      <c r="G161" s="5"/>
      <c r="I161" s="6"/>
      <c r="J161" s="5"/>
      <c r="L161" s="5"/>
      <c r="M161" s="7"/>
      <c r="N161" s="5"/>
      <c r="O161" s="5"/>
      <c r="P161" s="5"/>
      <c r="Q161" s="5"/>
      <c r="R161" s="5"/>
    </row>
    <row r="162" spans="3:18" x14ac:dyDescent="0.35">
      <c r="C162" s="5"/>
      <c r="D162" s="5"/>
      <c r="E162" s="5"/>
      <c r="F162" s="7"/>
      <c r="G162" s="5"/>
      <c r="I162" s="6"/>
      <c r="J162" s="5"/>
      <c r="L162" s="5"/>
      <c r="M162" s="7"/>
      <c r="N162" s="5"/>
      <c r="O162" s="5"/>
      <c r="P162" s="5"/>
      <c r="Q162" s="5"/>
      <c r="R162" s="5"/>
    </row>
    <row r="163" spans="3:18" x14ac:dyDescent="0.35">
      <c r="C163" s="5"/>
      <c r="D163" s="5"/>
      <c r="E163" s="5"/>
      <c r="F163" s="7"/>
      <c r="G163" s="5"/>
      <c r="I163" s="6"/>
      <c r="J163" s="5"/>
      <c r="L163" s="5"/>
      <c r="M163" s="7"/>
      <c r="N163" s="5"/>
      <c r="O163" s="5"/>
      <c r="P163" s="5"/>
      <c r="Q163" s="5"/>
      <c r="R163" s="5"/>
    </row>
    <row r="164" spans="3:18" x14ac:dyDescent="0.35">
      <c r="C164" s="5"/>
      <c r="D164" s="5"/>
      <c r="E164" s="5"/>
      <c r="F164" s="7"/>
      <c r="G164" s="5"/>
      <c r="I164" s="6"/>
      <c r="J164" s="5"/>
      <c r="L164" s="5"/>
      <c r="M164" s="7"/>
      <c r="N164" s="5"/>
      <c r="O164" s="5"/>
      <c r="P164" s="5"/>
      <c r="Q164" s="5"/>
      <c r="R164" s="5"/>
    </row>
    <row r="165" spans="3:18" x14ac:dyDescent="0.35">
      <c r="C165" s="5"/>
      <c r="D165" s="5"/>
      <c r="E165" s="5"/>
      <c r="F165" s="7"/>
      <c r="G165" s="5"/>
      <c r="I165" s="6"/>
      <c r="J165" s="5"/>
      <c r="L165" s="5"/>
      <c r="M165" s="7"/>
      <c r="N165" s="5"/>
      <c r="O165" s="5"/>
      <c r="P165" s="5"/>
      <c r="Q165" s="5"/>
      <c r="R165" s="5"/>
    </row>
    <row r="166" spans="3:18" x14ac:dyDescent="0.35">
      <c r="C166" s="5"/>
      <c r="D166" s="5"/>
      <c r="E166" s="5"/>
      <c r="F166" s="7"/>
      <c r="G166" s="5"/>
      <c r="I166" s="6"/>
      <c r="J166" s="5"/>
      <c r="L166" s="5"/>
      <c r="M166" s="7"/>
      <c r="N166" s="5"/>
      <c r="O166" s="5"/>
      <c r="P166" s="5"/>
      <c r="Q166" s="5"/>
      <c r="R166" s="5"/>
    </row>
    <row r="167" spans="3:18" x14ac:dyDescent="0.35">
      <c r="C167" s="5"/>
      <c r="D167" s="5"/>
      <c r="E167" s="5"/>
      <c r="F167" s="7"/>
      <c r="G167" s="5"/>
      <c r="I167" s="6"/>
      <c r="J167" s="5"/>
      <c r="L167" s="5"/>
      <c r="M167" s="7"/>
      <c r="N167" s="5"/>
      <c r="O167" s="5"/>
      <c r="P167" s="5"/>
      <c r="Q167" s="5"/>
      <c r="R167" s="5"/>
    </row>
    <row r="168" spans="3:18" x14ac:dyDescent="0.35">
      <c r="C168" s="5"/>
      <c r="D168" s="5"/>
      <c r="E168" s="5"/>
      <c r="F168" s="7"/>
      <c r="G168" s="5"/>
      <c r="I168" s="6"/>
      <c r="J168" s="5"/>
      <c r="L168" s="5"/>
      <c r="M168" s="7"/>
      <c r="N168" s="5"/>
      <c r="O168" s="5"/>
      <c r="P168" s="5"/>
      <c r="Q168" s="5"/>
      <c r="R168" s="5"/>
    </row>
    <row r="169" spans="3:18" x14ac:dyDescent="0.35">
      <c r="C169" s="5"/>
      <c r="D169" s="5"/>
      <c r="E169" s="5"/>
      <c r="F169" s="7"/>
      <c r="G169" s="5"/>
      <c r="I169" s="6"/>
      <c r="J169" s="5"/>
      <c r="L169" s="5"/>
      <c r="M169" s="7"/>
      <c r="N169" s="5"/>
      <c r="O169" s="5"/>
      <c r="P169" s="5"/>
      <c r="Q169" s="5"/>
      <c r="R169" s="5"/>
    </row>
    <row r="170" spans="3:18" x14ac:dyDescent="0.35">
      <c r="C170" s="5"/>
      <c r="D170" s="5"/>
      <c r="E170" s="5"/>
      <c r="F170" s="7"/>
      <c r="G170" s="5"/>
      <c r="I170" s="6"/>
      <c r="J170" s="5"/>
      <c r="L170" s="5"/>
      <c r="M170" s="7"/>
      <c r="N170" s="5"/>
      <c r="O170" s="5"/>
      <c r="P170" s="5"/>
      <c r="Q170" s="5"/>
      <c r="R170" s="5"/>
    </row>
    <row r="171" spans="3:18" x14ac:dyDescent="0.35">
      <c r="C171" s="5"/>
      <c r="D171" s="5"/>
      <c r="E171" s="5"/>
      <c r="F171" s="7"/>
      <c r="G171" s="5"/>
      <c r="I171" s="6"/>
      <c r="J171" s="5"/>
      <c r="L171" s="5"/>
      <c r="M171" s="7"/>
      <c r="N171" s="5"/>
      <c r="O171" s="5"/>
      <c r="P171" s="5"/>
      <c r="Q171" s="5"/>
      <c r="R171" s="5"/>
    </row>
    <row r="172" spans="3:18" x14ac:dyDescent="0.35">
      <c r="C172" s="5"/>
      <c r="D172" s="5"/>
      <c r="E172" s="5"/>
      <c r="F172" s="7"/>
      <c r="G172" s="5"/>
      <c r="I172" s="6"/>
      <c r="J172" s="5"/>
      <c r="L172" s="5"/>
      <c r="M172" s="7"/>
      <c r="N172" s="5"/>
      <c r="O172" s="5"/>
      <c r="P172" s="5"/>
      <c r="Q172" s="5"/>
      <c r="R172" s="5"/>
    </row>
    <row r="173" spans="3:18" x14ac:dyDescent="0.35">
      <c r="C173" s="5"/>
      <c r="D173" s="5"/>
      <c r="E173" s="5"/>
      <c r="F173" s="7"/>
      <c r="G173" s="5"/>
      <c r="I173" s="6"/>
      <c r="J173" s="5"/>
      <c r="L173" s="5"/>
      <c r="M173" s="7"/>
      <c r="N173" s="5"/>
      <c r="O173" s="5"/>
      <c r="P173" s="5"/>
      <c r="Q173" s="5"/>
      <c r="R173" s="5"/>
    </row>
    <row r="174" spans="3:18" x14ac:dyDescent="0.35">
      <c r="C174" s="5"/>
      <c r="D174" s="5"/>
      <c r="E174" s="5"/>
      <c r="F174" s="7"/>
      <c r="G174" s="5"/>
      <c r="I174" s="6"/>
      <c r="J174" s="5"/>
      <c r="L174" s="5"/>
      <c r="M174" s="7"/>
      <c r="N174" s="5"/>
      <c r="O174" s="5"/>
      <c r="P174" s="5"/>
      <c r="Q174" s="5"/>
      <c r="R174" s="5"/>
    </row>
    <row r="175" spans="3:18" x14ac:dyDescent="0.35">
      <c r="C175" s="5"/>
      <c r="D175" s="5"/>
      <c r="E175" s="5"/>
      <c r="F175" s="7"/>
      <c r="G175" s="5"/>
      <c r="I175" s="6"/>
      <c r="J175" s="5"/>
      <c r="L175" s="5"/>
      <c r="M175" s="7"/>
      <c r="N175" s="5"/>
      <c r="O175" s="5"/>
      <c r="P175" s="5"/>
      <c r="Q175" s="5"/>
      <c r="R175" s="5"/>
    </row>
    <row r="176" spans="3:18" x14ac:dyDescent="0.35">
      <c r="C176" s="5"/>
      <c r="D176" s="5"/>
      <c r="E176" s="5"/>
      <c r="F176" s="7"/>
      <c r="G176" s="5"/>
      <c r="I176" s="6"/>
      <c r="J176" s="5"/>
      <c r="L176" s="5"/>
      <c r="M176" s="7"/>
      <c r="N176" s="5"/>
      <c r="O176" s="5"/>
      <c r="P176" s="5"/>
      <c r="Q176" s="5"/>
      <c r="R176" s="5"/>
    </row>
    <row r="177" spans="3:18" x14ac:dyDescent="0.35">
      <c r="C177" s="5"/>
      <c r="D177" s="5"/>
      <c r="E177" s="5"/>
      <c r="F177" s="7"/>
      <c r="G177" s="5"/>
      <c r="I177" s="6"/>
      <c r="J177" s="5"/>
      <c r="L177" s="5"/>
      <c r="M177" s="7"/>
      <c r="N177" s="5"/>
      <c r="O177" s="5"/>
      <c r="P177" s="5"/>
      <c r="Q177" s="5"/>
      <c r="R177" s="5"/>
    </row>
    <row r="178" spans="3:18" x14ac:dyDescent="0.35">
      <c r="C178" s="5"/>
      <c r="D178" s="5"/>
      <c r="E178" s="5"/>
      <c r="F178" s="7"/>
      <c r="G178" s="5"/>
      <c r="I178" s="6"/>
      <c r="J178" s="5"/>
      <c r="L178" s="5"/>
      <c r="M178" s="7"/>
      <c r="N178" s="5"/>
      <c r="O178" s="5"/>
      <c r="P178" s="5"/>
      <c r="Q178" s="5"/>
      <c r="R178" s="5"/>
    </row>
    <row r="179" spans="3:18" x14ac:dyDescent="0.35">
      <c r="C179" s="5"/>
      <c r="D179" s="5"/>
      <c r="E179" s="5"/>
      <c r="F179" s="7"/>
      <c r="G179" s="5"/>
      <c r="I179" s="6"/>
      <c r="J179" s="5"/>
      <c r="L179" s="5"/>
      <c r="M179" s="7"/>
      <c r="N179" s="5"/>
      <c r="O179" s="5"/>
      <c r="P179" s="5"/>
      <c r="Q179" s="5"/>
      <c r="R179" s="5"/>
    </row>
    <row r="180" spans="3:18" x14ac:dyDescent="0.35">
      <c r="C180" s="5"/>
      <c r="D180" s="5"/>
      <c r="E180" s="5"/>
      <c r="F180" s="7"/>
      <c r="G180" s="5"/>
      <c r="I180" s="6"/>
      <c r="J180" s="5"/>
      <c r="L180" s="5"/>
      <c r="M180" s="7"/>
      <c r="N180" s="5"/>
      <c r="O180" s="5"/>
      <c r="P180" s="5"/>
      <c r="Q180" s="5"/>
      <c r="R180" s="5"/>
    </row>
    <row r="181" spans="3:18" x14ac:dyDescent="0.35">
      <c r="C181" s="5"/>
      <c r="D181" s="5"/>
      <c r="E181" s="5"/>
      <c r="F181" s="7"/>
      <c r="G181" s="5"/>
      <c r="I181" s="6"/>
      <c r="J181" s="5"/>
      <c r="L181" s="5"/>
      <c r="M181" s="7"/>
      <c r="N181" s="5"/>
      <c r="O181" s="5"/>
      <c r="P181" s="5"/>
      <c r="Q181" s="5"/>
      <c r="R181" s="5"/>
    </row>
    <row r="182" spans="3:18" x14ac:dyDescent="0.35">
      <c r="C182" s="5"/>
      <c r="D182" s="5"/>
      <c r="E182" s="5"/>
      <c r="F182" s="7"/>
      <c r="G182" s="5"/>
      <c r="I182" s="6"/>
      <c r="J182" s="5"/>
      <c r="L182" s="5"/>
      <c r="M182" s="7"/>
      <c r="N182" s="5"/>
      <c r="O182" s="5"/>
      <c r="P182" s="5"/>
      <c r="Q182" s="5"/>
      <c r="R182" s="5"/>
    </row>
    <row r="183" spans="3:18" x14ac:dyDescent="0.35">
      <c r="C183" s="5"/>
      <c r="D183" s="5"/>
      <c r="E183" s="5"/>
      <c r="F183" s="7"/>
      <c r="G183" s="5"/>
      <c r="I183" s="6"/>
      <c r="J183" s="5"/>
      <c r="L183" s="5"/>
      <c r="M183" s="7"/>
      <c r="N183" s="5"/>
      <c r="O183" s="5"/>
      <c r="P183" s="5"/>
      <c r="Q183" s="5"/>
      <c r="R183" s="5"/>
    </row>
    <row r="184" spans="3:18" x14ac:dyDescent="0.35">
      <c r="C184" s="5"/>
      <c r="D184" s="5"/>
      <c r="E184" s="5"/>
      <c r="F184" s="7"/>
      <c r="G184" s="5"/>
      <c r="I184" s="6"/>
      <c r="J184" s="5"/>
      <c r="L184" s="5"/>
      <c r="M184" s="7"/>
      <c r="N184" s="5"/>
      <c r="O184" s="5"/>
      <c r="P184" s="5"/>
      <c r="Q184" s="5"/>
      <c r="R184" s="5"/>
    </row>
    <row r="185" spans="3:18" x14ac:dyDescent="0.35">
      <c r="C185" s="5"/>
      <c r="D185" s="5"/>
      <c r="E185" s="5"/>
      <c r="F185" s="7"/>
      <c r="G185" s="5"/>
      <c r="I185" s="6"/>
      <c r="J185" s="5"/>
      <c r="L185" s="5"/>
      <c r="M185" s="7"/>
      <c r="N185" s="5"/>
      <c r="O185" s="5"/>
      <c r="P185" s="5"/>
      <c r="Q185" s="5"/>
      <c r="R185" s="5"/>
    </row>
    <row r="186" spans="3:18" x14ac:dyDescent="0.35">
      <c r="C186" s="5"/>
      <c r="D186" s="5"/>
      <c r="E186" s="5"/>
      <c r="F186" s="7"/>
      <c r="G186" s="5"/>
      <c r="I186" s="6"/>
      <c r="J186" s="5"/>
      <c r="L186" s="5"/>
      <c r="M186" s="7"/>
      <c r="N186" s="5"/>
      <c r="O186" s="5"/>
      <c r="P186" s="5"/>
      <c r="Q186" s="5"/>
      <c r="R186" s="5"/>
    </row>
    <row r="187" spans="3:18" x14ac:dyDescent="0.35">
      <c r="C187" s="5"/>
      <c r="D187" s="5"/>
      <c r="E187" s="5"/>
      <c r="F187" s="7"/>
      <c r="G187" s="5"/>
      <c r="I187" s="6"/>
      <c r="J187" s="5"/>
      <c r="L187" s="5"/>
      <c r="M187" s="7"/>
      <c r="N187" s="5"/>
      <c r="O187" s="5"/>
      <c r="P187" s="5"/>
      <c r="Q187" s="5"/>
      <c r="R187" s="5"/>
    </row>
    <row r="188" spans="3:18" x14ac:dyDescent="0.35">
      <c r="C188" s="5"/>
      <c r="D188" s="5"/>
      <c r="E188" s="5"/>
      <c r="F188" s="7"/>
      <c r="G188" s="5"/>
      <c r="I188" s="6"/>
      <c r="J188" s="5"/>
      <c r="L188" s="5"/>
      <c r="M188" s="7"/>
      <c r="N188" s="5"/>
      <c r="O188" s="5"/>
      <c r="P188" s="5"/>
      <c r="Q188" s="5"/>
      <c r="R188" s="5"/>
    </row>
    <row r="189" spans="3:18" x14ac:dyDescent="0.35">
      <c r="C189" s="5"/>
      <c r="D189" s="5"/>
      <c r="E189" s="5"/>
      <c r="F189" s="7"/>
      <c r="G189" s="5"/>
      <c r="I189" s="6"/>
      <c r="J189" s="5"/>
      <c r="L189" s="5"/>
      <c r="M189" s="7"/>
      <c r="N189" s="5"/>
      <c r="O189" s="5"/>
      <c r="P189" s="5"/>
      <c r="Q189" s="5"/>
      <c r="R189" s="5"/>
    </row>
    <row r="190" spans="3:18" x14ac:dyDescent="0.35">
      <c r="C190" s="5"/>
      <c r="D190" s="5"/>
      <c r="E190" s="5"/>
      <c r="F190" s="7"/>
      <c r="G190" s="5"/>
      <c r="I190" s="6"/>
      <c r="J190" s="5"/>
      <c r="L190" s="5"/>
      <c r="M190" s="7"/>
      <c r="N190" s="5"/>
      <c r="O190" s="5"/>
      <c r="P190" s="5"/>
      <c r="Q190" s="5"/>
      <c r="R190" s="5"/>
    </row>
    <row r="191" spans="3:18" x14ac:dyDescent="0.35">
      <c r="C191" s="5"/>
      <c r="D191" s="5"/>
      <c r="E191" s="5"/>
      <c r="F191" s="7"/>
      <c r="G191" s="5"/>
      <c r="I191" s="6"/>
      <c r="J191" s="5"/>
      <c r="L191" s="5"/>
      <c r="M191" s="7"/>
      <c r="N191" s="5"/>
      <c r="O191" s="5"/>
      <c r="P191" s="5"/>
      <c r="Q191" s="5"/>
      <c r="R191" s="5"/>
    </row>
    <row r="192" spans="3:18" x14ac:dyDescent="0.35">
      <c r="C192" s="5"/>
      <c r="D192" s="5"/>
      <c r="E192" s="5"/>
      <c r="F192" s="7"/>
      <c r="G192" s="5"/>
      <c r="I192" s="6"/>
      <c r="J192" s="5"/>
      <c r="L192" s="5"/>
      <c r="M192" s="7"/>
      <c r="N192" s="5"/>
      <c r="O192" s="5"/>
      <c r="P192" s="5"/>
      <c r="Q192" s="5"/>
      <c r="R192" s="5"/>
    </row>
    <row r="193" spans="3:18" x14ac:dyDescent="0.35">
      <c r="C193" s="5"/>
      <c r="D193" s="5"/>
      <c r="E193" s="5"/>
      <c r="F193" s="7"/>
      <c r="G193" s="5"/>
      <c r="I193" s="6"/>
      <c r="J193" s="5"/>
      <c r="L193" s="5"/>
      <c r="M193" s="7"/>
      <c r="N193" s="5"/>
      <c r="O193" s="5"/>
      <c r="P193" s="5"/>
      <c r="Q193" s="5"/>
      <c r="R193" s="5"/>
    </row>
    <row r="194" spans="3:18" x14ac:dyDescent="0.35">
      <c r="C194" s="5"/>
      <c r="D194" s="5"/>
      <c r="E194" s="5"/>
      <c r="F194" s="7"/>
      <c r="G194" s="5"/>
      <c r="I194" s="6"/>
      <c r="J194" s="5"/>
      <c r="L194" s="5"/>
      <c r="M194" s="7"/>
      <c r="N194" s="5"/>
      <c r="O194" s="5"/>
      <c r="P194" s="5"/>
      <c r="Q194" s="5"/>
      <c r="R194" s="5"/>
    </row>
    <row r="195" spans="3:18" x14ac:dyDescent="0.35">
      <c r="C195" s="5"/>
      <c r="D195" s="5"/>
      <c r="E195" s="5"/>
      <c r="F195" s="7"/>
      <c r="G195" s="5"/>
      <c r="I195" s="6"/>
      <c r="J195" s="5"/>
      <c r="L195" s="5"/>
      <c r="M195" s="7"/>
      <c r="N195" s="5"/>
      <c r="O195" s="5"/>
      <c r="P195" s="5"/>
      <c r="Q195" s="5"/>
      <c r="R195" s="5"/>
    </row>
    <row r="196" spans="3:18" x14ac:dyDescent="0.35">
      <c r="C196" s="5"/>
      <c r="D196" s="5"/>
      <c r="E196" s="5"/>
      <c r="F196" s="7"/>
      <c r="G196" s="5"/>
      <c r="I196" s="6"/>
      <c r="J196" s="5"/>
      <c r="L196" s="5"/>
      <c r="M196" s="7"/>
      <c r="N196" s="5"/>
      <c r="O196" s="5"/>
      <c r="P196" s="5"/>
      <c r="Q196" s="5"/>
      <c r="R196" s="5"/>
    </row>
    <row r="197" spans="3:18" x14ac:dyDescent="0.35">
      <c r="C197" s="5"/>
      <c r="D197" s="5"/>
      <c r="E197" s="5"/>
      <c r="F197" s="7"/>
      <c r="G197" s="5"/>
      <c r="I197" s="6"/>
      <c r="J197" s="5"/>
      <c r="L197" s="5"/>
      <c r="M197" s="7"/>
      <c r="N197" s="5"/>
      <c r="O197" s="5"/>
      <c r="P197" s="5"/>
      <c r="Q197" s="5"/>
      <c r="R197" s="5"/>
    </row>
    <row r="198" spans="3:18" x14ac:dyDescent="0.35">
      <c r="C198" s="5"/>
      <c r="D198" s="5"/>
      <c r="E198" s="5"/>
      <c r="F198" s="7"/>
      <c r="G198" s="5"/>
      <c r="I198" s="6"/>
      <c r="J198" s="5"/>
      <c r="L198" s="5"/>
      <c r="M198" s="7"/>
      <c r="N198" s="5"/>
      <c r="O198" s="5"/>
      <c r="P198" s="5"/>
      <c r="Q198" s="5"/>
      <c r="R198" s="5"/>
    </row>
    <row r="199" spans="3:18" x14ac:dyDescent="0.35">
      <c r="C199" s="5"/>
      <c r="D199" s="5"/>
      <c r="E199" s="5"/>
      <c r="F199" s="7"/>
      <c r="G199" s="5"/>
      <c r="I199" s="6"/>
      <c r="J199" s="5"/>
      <c r="L199" s="5"/>
      <c r="M199" s="7"/>
      <c r="N199" s="5"/>
      <c r="O199" s="5"/>
      <c r="P199" s="5"/>
      <c r="Q199" s="5"/>
      <c r="R199" s="5"/>
    </row>
    <row r="200" spans="3:18" x14ac:dyDescent="0.35">
      <c r="C200" s="5"/>
      <c r="D200" s="5"/>
      <c r="E200" s="5"/>
      <c r="F200" s="7"/>
      <c r="G200" s="5"/>
      <c r="I200" s="6"/>
      <c r="J200" s="5"/>
      <c r="L200" s="5"/>
      <c r="M200" s="7"/>
      <c r="N200" s="5"/>
      <c r="O200" s="5"/>
      <c r="P200" s="5"/>
      <c r="Q200" s="5"/>
      <c r="R200" s="5"/>
    </row>
    <row r="201" spans="3:18" x14ac:dyDescent="0.35">
      <c r="C201" s="5"/>
      <c r="D201" s="5"/>
      <c r="E201" s="5"/>
      <c r="F201" s="7"/>
      <c r="G201" s="5"/>
      <c r="I201" s="6"/>
      <c r="J201" s="5"/>
      <c r="L201" s="5"/>
      <c r="M201" s="7"/>
      <c r="N201" s="5"/>
      <c r="O201" s="5"/>
      <c r="P201" s="5"/>
      <c r="Q201" s="5"/>
      <c r="R201" s="5"/>
    </row>
    <row r="202" spans="3:18" x14ac:dyDescent="0.35">
      <c r="C202" s="5"/>
      <c r="D202" s="5"/>
      <c r="E202" s="5"/>
      <c r="F202" s="7"/>
      <c r="G202" s="5"/>
      <c r="I202" s="6"/>
      <c r="J202" s="5"/>
      <c r="L202" s="5"/>
      <c r="M202" s="7"/>
      <c r="N202" s="5"/>
      <c r="O202" s="5"/>
      <c r="P202" s="5"/>
      <c r="Q202" s="5"/>
      <c r="R202" s="5"/>
    </row>
    <row r="203" spans="3:18" x14ac:dyDescent="0.35">
      <c r="C203" s="5"/>
      <c r="D203" s="5"/>
      <c r="E203" s="5"/>
      <c r="F203" s="7"/>
      <c r="G203" s="5"/>
      <c r="I203" s="6"/>
      <c r="J203" s="5"/>
      <c r="L203" s="5"/>
      <c r="M203" s="7"/>
      <c r="N203" s="5"/>
      <c r="O203" s="5"/>
      <c r="P203" s="5"/>
      <c r="Q203" s="5"/>
      <c r="R203" s="5"/>
    </row>
    <row r="204" spans="3:18" x14ac:dyDescent="0.35">
      <c r="C204" s="5"/>
      <c r="D204" s="5"/>
      <c r="E204" s="5"/>
      <c r="F204" s="7"/>
      <c r="G204" s="5"/>
      <c r="I204" s="6"/>
      <c r="J204" s="5"/>
      <c r="L204" s="5"/>
      <c r="M204" s="7"/>
      <c r="N204" s="5"/>
      <c r="O204" s="5"/>
      <c r="P204" s="5"/>
      <c r="Q204" s="5"/>
      <c r="R204" s="5"/>
    </row>
    <row r="205" spans="3:18" x14ac:dyDescent="0.35">
      <c r="C205" s="5"/>
      <c r="D205" s="5"/>
      <c r="E205" s="5"/>
      <c r="F205" s="7"/>
      <c r="G205" s="5"/>
      <c r="I205" s="6"/>
      <c r="J205" s="5"/>
      <c r="L205" s="5"/>
      <c r="M205" s="7"/>
      <c r="N205" s="5"/>
      <c r="O205" s="5"/>
      <c r="P205" s="5"/>
      <c r="Q205" s="5"/>
      <c r="R205" s="5"/>
    </row>
    <row r="206" spans="3:18" x14ac:dyDescent="0.35">
      <c r="C206" s="5"/>
      <c r="D206" s="5"/>
      <c r="E206" s="5"/>
      <c r="F206" s="7"/>
      <c r="G206" s="5"/>
      <c r="I206" s="6"/>
      <c r="J206" s="5"/>
      <c r="L206" s="5"/>
      <c r="M206" s="7"/>
      <c r="N206" s="5"/>
      <c r="O206" s="5"/>
      <c r="P206" s="5"/>
      <c r="Q206" s="5"/>
      <c r="R206" s="5"/>
    </row>
    <row r="207" spans="3:18" x14ac:dyDescent="0.35">
      <c r="C207" s="5"/>
      <c r="D207" s="5"/>
      <c r="E207" s="5"/>
      <c r="F207" s="7"/>
      <c r="G207" s="5"/>
      <c r="I207" s="6"/>
      <c r="J207" s="5"/>
      <c r="L207" s="5"/>
      <c r="M207" s="7"/>
      <c r="N207" s="5"/>
      <c r="O207" s="5"/>
      <c r="P207" s="5"/>
      <c r="Q207" s="5"/>
      <c r="R207" s="5"/>
    </row>
    <row r="208" spans="3:18" x14ac:dyDescent="0.35">
      <c r="C208" s="5"/>
      <c r="D208" s="5"/>
      <c r="E208" s="5"/>
      <c r="F208" s="7"/>
      <c r="G208" s="5"/>
      <c r="I208" s="6"/>
      <c r="J208" s="5"/>
      <c r="L208" s="5"/>
      <c r="M208" s="7"/>
      <c r="N208" s="5"/>
      <c r="O208" s="5"/>
      <c r="P208" s="5"/>
      <c r="Q208" s="5"/>
      <c r="R208" s="5"/>
    </row>
    <row r="209" spans="3:18" x14ac:dyDescent="0.35">
      <c r="C209" s="5"/>
      <c r="D209" s="5"/>
      <c r="E209" s="5"/>
      <c r="F209" s="7"/>
      <c r="G209" s="5"/>
      <c r="I209" s="6"/>
      <c r="J209" s="5"/>
      <c r="L209" s="5"/>
      <c r="M209" s="7"/>
      <c r="N209" s="5"/>
      <c r="O209" s="5"/>
      <c r="P209" s="5"/>
      <c r="Q209" s="5"/>
      <c r="R209" s="5"/>
    </row>
    <row r="210" spans="3:18" x14ac:dyDescent="0.35">
      <c r="C210" s="5"/>
      <c r="D210" s="5"/>
      <c r="E210" s="5"/>
      <c r="F210" s="7"/>
      <c r="G210" s="5"/>
      <c r="I210" s="6"/>
      <c r="J210" s="5"/>
      <c r="L210" s="5"/>
      <c r="M210" s="7"/>
      <c r="N210" s="5"/>
      <c r="O210" s="5"/>
      <c r="P210" s="5"/>
      <c r="Q210" s="5"/>
      <c r="R210" s="5"/>
    </row>
    <row r="211" spans="3:18" x14ac:dyDescent="0.35">
      <c r="C211" s="5"/>
      <c r="D211" s="5"/>
      <c r="E211" s="5"/>
      <c r="F211" s="7"/>
      <c r="G211" s="5"/>
      <c r="I211" s="6"/>
      <c r="J211" s="5"/>
      <c r="L211" s="5"/>
      <c r="M211" s="7"/>
      <c r="N211" s="5"/>
      <c r="O211" s="5"/>
      <c r="P211" s="5"/>
      <c r="Q211" s="5"/>
      <c r="R211" s="5"/>
    </row>
    <row r="212" spans="3:18" x14ac:dyDescent="0.35">
      <c r="C212" s="5"/>
      <c r="D212" s="5"/>
      <c r="E212" s="5"/>
      <c r="F212" s="7"/>
      <c r="G212" s="5"/>
      <c r="I212" s="6"/>
      <c r="J212" s="5"/>
      <c r="L212" s="5"/>
      <c r="M212" s="7"/>
      <c r="N212" s="5"/>
      <c r="O212" s="5"/>
      <c r="P212" s="5"/>
      <c r="Q212" s="5"/>
      <c r="R212" s="5"/>
    </row>
    <row r="213" spans="3:18" x14ac:dyDescent="0.35">
      <c r="C213" s="5"/>
      <c r="D213" s="5"/>
      <c r="E213" s="5"/>
      <c r="F213" s="7"/>
      <c r="G213" s="5"/>
      <c r="I213" s="6"/>
      <c r="J213" s="5"/>
      <c r="L213" s="5"/>
      <c r="M213" s="7"/>
      <c r="N213" s="5"/>
      <c r="O213" s="5"/>
      <c r="P213" s="5"/>
      <c r="Q213" s="5"/>
      <c r="R213" s="5"/>
    </row>
    <row r="214" spans="3:18" x14ac:dyDescent="0.35">
      <c r="C214" s="5"/>
      <c r="D214" s="5"/>
      <c r="E214" s="5"/>
      <c r="F214" s="7"/>
      <c r="G214" s="5"/>
      <c r="I214" s="6"/>
      <c r="J214" s="5"/>
      <c r="L214" s="5"/>
      <c r="M214" s="7"/>
      <c r="N214" s="5"/>
      <c r="O214" s="5"/>
      <c r="P214" s="5"/>
      <c r="Q214" s="5"/>
      <c r="R214" s="5"/>
    </row>
    <row r="215" spans="3:18" x14ac:dyDescent="0.35">
      <c r="C215" s="5"/>
      <c r="D215" s="5"/>
      <c r="E215" s="5"/>
      <c r="F215" s="7"/>
      <c r="G215" s="5"/>
      <c r="I215" s="6"/>
      <c r="J215" s="5"/>
      <c r="L215" s="5"/>
      <c r="M215" s="7"/>
      <c r="N215" s="5"/>
      <c r="O215" s="5"/>
      <c r="P215" s="5"/>
      <c r="Q215" s="5"/>
      <c r="R215" s="5"/>
    </row>
    <row r="216" spans="3:18" x14ac:dyDescent="0.35">
      <c r="C216" s="5"/>
      <c r="D216" s="5"/>
      <c r="E216" s="5"/>
      <c r="F216" s="7"/>
      <c r="G216" s="5"/>
      <c r="I216" s="6"/>
      <c r="J216" s="5"/>
      <c r="L216" s="5"/>
      <c r="M216" s="7"/>
      <c r="N216" s="5"/>
      <c r="O216" s="5"/>
      <c r="P216" s="5"/>
      <c r="Q216" s="5"/>
      <c r="R216" s="5"/>
    </row>
    <row r="217" spans="3:18" x14ac:dyDescent="0.35">
      <c r="C217" s="5"/>
      <c r="D217" s="5"/>
      <c r="E217" s="5"/>
      <c r="F217" s="7"/>
      <c r="G217" s="5"/>
      <c r="I217" s="6"/>
      <c r="J217" s="5"/>
      <c r="L217" s="5"/>
      <c r="M217" s="7"/>
      <c r="N217" s="5"/>
      <c r="O217" s="5"/>
      <c r="P217" s="5"/>
      <c r="Q217" s="5"/>
      <c r="R217" s="5"/>
    </row>
    <row r="218" spans="3:18" x14ac:dyDescent="0.35">
      <c r="C218" s="5"/>
      <c r="D218" s="5"/>
      <c r="E218" s="5"/>
      <c r="F218" s="7"/>
      <c r="G218" s="5"/>
      <c r="I218" s="6"/>
      <c r="J218" s="5"/>
      <c r="L218" s="5"/>
      <c r="M218" s="7"/>
      <c r="N218" s="5"/>
      <c r="O218" s="5"/>
      <c r="P218" s="5"/>
      <c r="Q218" s="5"/>
      <c r="R218" s="5"/>
    </row>
    <row r="219" spans="3:18" x14ac:dyDescent="0.35">
      <c r="C219" s="5"/>
      <c r="D219" s="5"/>
      <c r="E219" s="5"/>
      <c r="F219" s="7"/>
      <c r="G219" s="5"/>
      <c r="I219" s="6"/>
      <c r="J219" s="5"/>
      <c r="L219" s="5"/>
      <c r="M219" s="7"/>
      <c r="N219" s="5"/>
      <c r="O219" s="5"/>
      <c r="P219" s="5"/>
      <c r="Q219" s="5"/>
      <c r="R219" s="5"/>
    </row>
    <row r="220" spans="3:18" x14ac:dyDescent="0.35">
      <c r="C220" s="5"/>
      <c r="D220" s="5"/>
      <c r="E220" s="5"/>
      <c r="F220" s="7"/>
      <c r="G220" s="5"/>
      <c r="I220" s="6"/>
      <c r="J220" s="5"/>
      <c r="L220" s="5"/>
      <c r="M220" s="7"/>
      <c r="N220" s="5"/>
      <c r="O220" s="5"/>
      <c r="P220" s="5"/>
      <c r="Q220" s="5"/>
      <c r="R220" s="5"/>
    </row>
    <row r="221" spans="3:18" x14ac:dyDescent="0.35">
      <c r="C221" s="5"/>
      <c r="D221" s="5"/>
      <c r="E221" s="5"/>
      <c r="F221" s="7"/>
      <c r="G221" s="5"/>
      <c r="I221" s="6"/>
      <c r="J221" s="5"/>
      <c r="L221" s="5"/>
      <c r="M221" s="7"/>
      <c r="N221" s="5"/>
      <c r="O221" s="5"/>
      <c r="P221" s="5"/>
      <c r="Q221" s="5"/>
      <c r="R221" s="5"/>
    </row>
    <row r="222" spans="3:18" x14ac:dyDescent="0.35">
      <c r="C222" s="5"/>
      <c r="D222" s="5"/>
      <c r="E222" s="5"/>
      <c r="F222" s="7"/>
      <c r="G222" s="5"/>
      <c r="I222" s="6"/>
      <c r="J222" s="5"/>
      <c r="L222" s="5"/>
      <c r="M222" s="7"/>
      <c r="N222" s="5"/>
      <c r="O222" s="5"/>
      <c r="P222" s="5"/>
      <c r="Q222" s="5"/>
      <c r="R222" s="5"/>
    </row>
    <row r="223" spans="3:18" x14ac:dyDescent="0.35">
      <c r="C223" s="5"/>
      <c r="D223" s="5"/>
      <c r="E223" s="5"/>
      <c r="F223" s="7"/>
      <c r="G223" s="5"/>
      <c r="I223" s="6"/>
      <c r="J223" s="5"/>
      <c r="L223" s="5"/>
      <c r="M223" s="7"/>
      <c r="N223" s="5"/>
      <c r="O223" s="5"/>
      <c r="P223" s="5"/>
      <c r="Q223" s="5"/>
      <c r="R223" s="5"/>
    </row>
    <row r="224" spans="3:18" x14ac:dyDescent="0.35">
      <c r="C224" s="5"/>
      <c r="D224" s="5"/>
      <c r="E224" s="5"/>
      <c r="F224" s="7"/>
      <c r="G224" s="5"/>
      <c r="I224" s="6"/>
      <c r="J224" s="5"/>
      <c r="L224" s="5"/>
      <c r="M224" s="7"/>
      <c r="N224" s="5"/>
      <c r="O224" s="5"/>
      <c r="P224" s="5"/>
      <c r="Q224" s="5"/>
      <c r="R224" s="5"/>
    </row>
    <row r="225" spans="3:18" x14ac:dyDescent="0.35">
      <c r="C225" s="5"/>
      <c r="D225" s="5"/>
      <c r="E225" s="5"/>
      <c r="F225" s="7"/>
      <c r="G225" s="5"/>
      <c r="I225" s="6"/>
      <c r="J225" s="5"/>
      <c r="L225" s="5"/>
      <c r="M225" s="7"/>
      <c r="N225" s="5"/>
      <c r="O225" s="5"/>
      <c r="P225" s="5"/>
      <c r="Q225" s="5"/>
      <c r="R225" s="5"/>
    </row>
    <row r="226" spans="3:18" x14ac:dyDescent="0.35">
      <c r="C226" s="5"/>
      <c r="D226" s="5"/>
      <c r="E226" s="5"/>
      <c r="F226" s="7"/>
      <c r="G226" s="5"/>
      <c r="I226" s="6"/>
      <c r="J226" s="5"/>
      <c r="L226" s="5"/>
      <c r="M226" s="7"/>
      <c r="N226" s="5"/>
      <c r="O226" s="5"/>
      <c r="P226" s="5"/>
      <c r="Q226" s="5"/>
      <c r="R226" s="5"/>
    </row>
    <row r="227" spans="3:18" x14ac:dyDescent="0.35">
      <c r="C227" s="5"/>
      <c r="D227" s="5"/>
      <c r="E227" s="5"/>
      <c r="F227" s="7"/>
      <c r="G227" s="5"/>
      <c r="I227" s="6"/>
      <c r="J227" s="5"/>
      <c r="L227" s="5"/>
      <c r="M227" s="7"/>
      <c r="N227" s="5"/>
      <c r="O227" s="5"/>
      <c r="P227" s="5"/>
      <c r="Q227" s="5"/>
      <c r="R227" s="5"/>
    </row>
    <row r="228" spans="3:18" x14ac:dyDescent="0.35">
      <c r="C228" s="5"/>
      <c r="D228" s="5"/>
      <c r="E228" s="5"/>
      <c r="F228" s="7"/>
      <c r="G228" s="5"/>
      <c r="I228" s="6"/>
      <c r="J228" s="5"/>
      <c r="L228" s="5"/>
      <c r="M228" s="7"/>
      <c r="N228" s="5"/>
      <c r="O228" s="5"/>
      <c r="P228" s="5"/>
      <c r="Q228" s="5"/>
      <c r="R228" s="5"/>
    </row>
    <row r="229" spans="3:18" x14ac:dyDescent="0.35">
      <c r="C229" s="5"/>
      <c r="D229" s="5"/>
      <c r="E229" s="5"/>
      <c r="F229" s="7"/>
      <c r="G229" s="5"/>
      <c r="I229" s="6"/>
      <c r="J229" s="5"/>
      <c r="L229" s="5"/>
      <c r="M229" s="7"/>
      <c r="N229" s="5"/>
      <c r="O229" s="5"/>
      <c r="P229" s="5"/>
      <c r="Q229" s="5"/>
      <c r="R229" s="5"/>
    </row>
    <row r="230" spans="3:18" x14ac:dyDescent="0.35">
      <c r="C230" s="5"/>
      <c r="D230" s="5"/>
      <c r="E230" s="5"/>
      <c r="F230" s="7"/>
      <c r="G230" s="5"/>
      <c r="I230" s="6"/>
      <c r="J230" s="5"/>
      <c r="L230" s="5"/>
      <c r="M230" s="7"/>
      <c r="N230" s="5"/>
      <c r="O230" s="5"/>
      <c r="P230" s="5"/>
      <c r="Q230" s="5"/>
      <c r="R230" s="5"/>
    </row>
    <row r="231" spans="3:18" x14ac:dyDescent="0.35">
      <c r="C231" s="5"/>
      <c r="D231" s="5"/>
      <c r="E231" s="5"/>
      <c r="F231" s="7"/>
      <c r="G231" s="5"/>
      <c r="I231" s="6"/>
      <c r="J231" s="5"/>
      <c r="L231" s="5"/>
      <c r="M231" s="7"/>
      <c r="N231" s="5"/>
      <c r="O231" s="5"/>
      <c r="P231" s="5"/>
      <c r="Q231" s="5"/>
      <c r="R231" s="5"/>
    </row>
    <row r="232" spans="3:18" x14ac:dyDescent="0.35">
      <c r="C232" s="5"/>
      <c r="D232" s="5"/>
      <c r="E232" s="5"/>
      <c r="F232" s="7"/>
      <c r="G232" s="5"/>
      <c r="I232" s="6"/>
      <c r="J232" s="5"/>
      <c r="L232" s="5"/>
      <c r="M232" s="7"/>
      <c r="N232" s="5"/>
      <c r="O232" s="5"/>
      <c r="P232" s="5"/>
      <c r="Q232" s="5"/>
      <c r="R232" s="5"/>
    </row>
    <row r="233" spans="3:18" x14ac:dyDescent="0.35">
      <c r="C233" s="5"/>
      <c r="D233" s="5"/>
      <c r="E233" s="5"/>
      <c r="F233" s="7"/>
      <c r="G233" s="5"/>
      <c r="I233" s="6"/>
      <c r="J233" s="5"/>
      <c r="L233" s="5"/>
      <c r="M233" s="7"/>
      <c r="N233" s="5"/>
      <c r="O233" s="5"/>
      <c r="P233" s="5"/>
      <c r="Q233" s="5"/>
      <c r="R233" s="5"/>
    </row>
    <row r="234" spans="3:18" x14ac:dyDescent="0.35">
      <c r="C234" s="5"/>
      <c r="D234" s="5"/>
      <c r="E234" s="5"/>
      <c r="F234" s="7"/>
      <c r="G234" s="5"/>
      <c r="I234" s="6"/>
      <c r="J234" s="5"/>
      <c r="L234" s="5"/>
      <c r="M234" s="7"/>
      <c r="N234" s="5"/>
      <c r="O234" s="5"/>
      <c r="P234" s="5"/>
      <c r="Q234" s="5"/>
      <c r="R234" s="5"/>
    </row>
    <row r="235" spans="3:18" x14ac:dyDescent="0.35">
      <c r="C235" s="5"/>
      <c r="D235" s="5"/>
      <c r="E235" s="5"/>
      <c r="F235" s="7"/>
      <c r="G235" s="5"/>
      <c r="I235" s="6"/>
      <c r="J235" s="5"/>
      <c r="L235" s="5"/>
      <c r="M235" s="7"/>
      <c r="N235" s="5"/>
      <c r="O235" s="5"/>
      <c r="P235" s="5"/>
      <c r="Q235" s="5"/>
      <c r="R235" s="5"/>
    </row>
    <row r="236" spans="3:18" x14ac:dyDescent="0.35">
      <c r="C236" s="5"/>
      <c r="D236" s="5"/>
      <c r="E236" s="5"/>
      <c r="F236" s="7"/>
      <c r="G236" s="5"/>
      <c r="I236" s="6"/>
      <c r="J236" s="5"/>
      <c r="L236" s="5"/>
      <c r="M236" s="7"/>
      <c r="N236" s="5"/>
      <c r="O236" s="5"/>
      <c r="P236" s="5"/>
      <c r="Q236" s="5"/>
      <c r="R236" s="5"/>
    </row>
    <row r="237" spans="3:18" x14ac:dyDescent="0.35">
      <c r="C237" s="5"/>
      <c r="D237" s="5"/>
      <c r="E237" s="5"/>
      <c r="F237" s="7"/>
      <c r="G237" s="5"/>
      <c r="I237" s="6"/>
      <c r="J237" s="5"/>
      <c r="L237" s="5"/>
      <c r="M237" s="7"/>
      <c r="N237" s="5"/>
      <c r="O237" s="5"/>
      <c r="P237" s="5"/>
      <c r="Q237" s="5"/>
      <c r="R237" s="5"/>
    </row>
    <row r="238" spans="3:18" x14ac:dyDescent="0.35">
      <c r="C238" s="5"/>
      <c r="D238" s="5"/>
      <c r="E238" s="5"/>
      <c r="F238" s="7"/>
      <c r="G238" s="5"/>
      <c r="I238" s="6"/>
      <c r="J238" s="5"/>
      <c r="L238" s="5"/>
      <c r="M238" s="7"/>
      <c r="N238" s="5"/>
      <c r="O238" s="5"/>
      <c r="P238" s="5"/>
      <c r="Q238" s="5"/>
      <c r="R238" s="5"/>
    </row>
    <row r="239" spans="3:18" x14ac:dyDescent="0.35">
      <c r="C239" s="5"/>
      <c r="D239" s="5"/>
      <c r="E239" s="5"/>
      <c r="F239" s="7"/>
      <c r="G239" s="5"/>
      <c r="I239" s="6"/>
      <c r="J239" s="5"/>
      <c r="L239" s="5"/>
      <c r="M239" s="7"/>
      <c r="N239" s="5"/>
      <c r="O239" s="5"/>
      <c r="P239" s="5"/>
      <c r="Q239" s="5"/>
      <c r="R239" s="5"/>
    </row>
    <row r="240" spans="3:18" x14ac:dyDescent="0.35">
      <c r="C240" s="5"/>
      <c r="D240" s="5"/>
      <c r="E240" s="5"/>
      <c r="F240" s="7"/>
      <c r="G240" s="5"/>
      <c r="I240" s="6"/>
      <c r="J240" s="5"/>
      <c r="L240" s="5"/>
      <c r="M240" s="7"/>
      <c r="N240" s="5"/>
      <c r="O240" s="5"/>
      <c r="P240" s="5"/>
      <c r="Q240" s="5"/>
      <c r="R240" s="5"/>
    </row>
    <row r="241" spans="3:18" x14ac:dyDescent="0.35">
      <c r="C241" s="5"/>
      <c r="D241" s="5"/>
      <c r="E241" s="5"/>
      <c r="F241" s="7"/>
      <c r="G241" s="5"/>
      <c r="I241" s="6"/>
      <c r="J241" s="5"/>
      <c r="L241" s="5"/>
      <c r="M241" s="7"/>
      <c r="N241" s="5"/>
      <c r="O241" s="5"/>
      <c r="P241" s="5"/>
      <c r="Q241" s="5"/>
      <c r="R241" s="5"/>
    </row>
    <row r="242" spans="3:18" x14ac:dyDescent="0.35">
      <c r="C242" s="5"/>
      <c r="D242" s="5"/>
      <c r="E242" s="5"/>
      <c r="F242" s="7"/>
      <c r="G242" s="5"/>
      <c r="I242" s="6"/>
      <c r="J242" s="5"/>
      <c r="L242" s="5"/>
      <c r="M242" s="7"/>
      <c r="N242" s="5"/>
      <c r="O242" s="5"/>
      <c r="P242" s="5"/>
      <c r="Q242" s="5"/>
      <c r="R242" s="5"/>
    </row>
    <row r="243" spans="3:18" x14ac:dyDescent="0.35">
      <c r="C243" s="5"/>
      <c r="D243" s="5"/>
      <c r="E243" s="5"/>
      <c r="F243" s="7"/>
      <c r="G243" s="5"/>
      <c r="I243" s="6"/>
      <c r="J243" s="5"/>
      <c r="L243" s="5"/>
      <c r="M243" s="7"/>
      <c r="N243" s="5"/>
      <c r="O243" s="5"/>
      <c r="P243" s="5"/>
      <c r="Q243" s="5"/>
      <c r="R243" s="5"/>
    </row>
    <row r="244" spans="3:18" x14ac:dyDescent="0.35">
      <c r="C244" s="5"/>
      <c r="D244" s="5"/>
      <c r="E244" s="5"/>
      <c r="F244" s="7"/>
      <c r="G244" s="5"/>
      <c r="I244" s="6"/>
      <c r="J244" s="5"/>
      <c r="L244" s="5"/>
      <c r="M244" s="7"/>
      <c r="N244" s="5"/>
      <c r="O244" s="5"/>
      <c r="P244" s="5"/>
      <c r="Q244" s="5"/>
      <c r="R244" s="5"/>
    </row>
    <row r="245" spans="3:18" x14ac:dyDescent="0.35">
      <c r="C245" s="5"/>
      <c r="D245" s="5"/>
      <c r="E245" s="5"/>
      <c r="F245" s="7"/>
      <c r="G245" s="5"/>
      <c r="I245" s="6"/>
      <c r="J245" s="5"/>
      <c r="L245" s="5"/>
      <c r="M245" s="7"/>
      <c r="N245" s="5"/>
      <c r="O245" s="5"/>
      <c r="P245" s="5"/>
      <c r="Q245" s="5"/>
      <c r="R245" s="5"/>
    </row>
    <row r="246" spans="3:18" x14ac:dyDescent="0.35">
      <c r="C246" s="5"/>
      <c r="D246" s="5"/>
      <c r="E246" s="5"/>
      <c r="F246" s="7"/>
      <c r="G246" s="5"/>
      <c r="I246" s="6"/>
      <c r="J246" s="5"/>
      <c r="L246" s="5"/>
      <c r="M246" s="7"/>
      <c r="N246" s="5"/>
      <c r="O246" s="5"/>
      <c r="P246" s="5"/>
      <c r="Q246" s="5"/>
      <c r="R246" s="5"/>
    </row>
    <row r="247" spans="3:18" x14ac:dyDescent="0.35">
      <c r="C247" s="5"/>
      <c r="D247" s="5"/>
      <c r="E247" s="5"/>
      <c r="F247" s="7"/>
      <c r="G247" s="5"/>
      <c r="I247" s="6"/>
      <c r="J247" s="5"/>
      <c r="L247" s="5"/>
      <c r="M247" s="7"/>
      <c r="N247" s="5"/>
      <c r="O247" s="5"/>
      <c r="P247" s="5"/>
      <c r="Q247" s="5"/>
      <c r="R247" s="5"/>
    </row>
    <row r="248" spans="3:18" x14ac:dyDescent="0.35">
      <c r="C248" s="5"/>
      <c r="D248" s="5"/>
      <c r="E248" s="5"/>
      <c r="F248" s="7"/>
      <c r="G248" s="5"/>
      <c r="I248" s="6"/>
      <c r="J248" s="5"/>
      <c r="L248" s="5"/>
      <c r="M248" s="7"/>
      <c r="N248" s="5"/>
      <c r="O248" s="5"/>
      <c r="P248" s="5"/>
      <c r="Q248" s="5"/>
      <c r="R248" s="5"/>
    </row>
    <row r="249" spans="3:18" x14ac:dyDescent="0.35">
      <c r="C249" s="5"/>
      <c r="D249" s="5"/>
      <c r="E249" s="5"/>
      <c r="F249" s="7"/>
      <c r="G249" s="5"/>
      <c r="I249" s="6"/>
      <c r="J249" s="5"/>
      <c r="L249" s="5"/>
      <c r="M249" s="7"/>
      <c r="N249" s="5"/>
      <c r="O249" s="5"/>
      <c r="P249" s="5"/>
      <c r="Q249" s="5"/>
      <c r="R249" s="5"/>
    </row>
    <row r="250" spans="3:18" x14ac:dyDescent="0.35">
      <c r="C250" s="5"/>
      <c r="D250" s="5"/>
      <c r="E250" s="5"/>
      <c r="F250" s="7"/>
      <c r="G250" s="5"/>
      <c r="I250" s="6"/>
      <c r="J250" s="5"/>
      <c r="L250" s="5"/>
      <c r="M250" s="7"/>
      <c r="N250" s="5"/>
      <c r="O250" s="5"/>
      <c r="P250" s="5"/>
      <c r="Q250" s="5"/>
      <c r="R250" s="5"/>
    </row>
    <row r="251" spans="3:18" x14ac:dyDescent="0.35">
      <c r="C251" s="5"/>
      <c r="D251" s="5"/>
      <c r="E251" s="5"/>
      <c r="F251" s="7"/>
      <c r="G251" s="5"/>
      <c r="I251" s="6"/>
      <c r="J251" s="5"/>
      <c r="L251" s="5"/>
      <c r="M251" s="7"/>
      <c r="N251" s="5"/>
      <c r="O251" s="5"/>
      <c r="P251" s="5"/>
      <c r="Q251" s="5"/>
      <c r="R251" s="5"/>
    </row>
    <row r="252" spans="3:18" x14ac:dyDescent="0.35">
      <c r="C252" s="5"/>
      <c r="D252" s="5"/>
      <c r="E252" s="5"/>
      <c r="F252" s="7"/>
      <c r="G252" s="5"/>
      <c r="I252" s="6"/>
      <c r="J252" s="5"/>
      <c r="L252" s="5"/>
      <c r="M252" s="7"/>
      <c r="N252" s="5"/>
      <c r="O252" s="5"/>
      <c r="P252" s="5"/>
      <c r="Q252" s="5"/>
      <c r="R252" s="5"/>
    </row>
    <row r="253" spans="3:18" x14ac:dyDescent="0.35">
      <c r="C253" s="5"/>
      <c r="D253" s="5"/>
      <c r="E253" s="5"/>
      <c r="F253" s="7"/>
      <c r="G253" s="5"/>
      <c r="I253" s="6"/>
      <c r="J253" s="5"/>
      <c r="L253" s="5"/>
      <c r="M253" s="7"/>
      <c r="N253" s="5"/>
      <c r="O253" s="5"/>
      <c r="P253" s="5"/>
      <c r="Q253" s="5"/>
      <c r="R253" s="5"/>
    </row>
    <row r="254" spans="3:18" x14ac:dyDescent="0.35">
      <c r="C254" s="5"/>
      <c r="D254" s="5"/>
      <c r="E254" s="5"/>
      <c r="F254" s="7"/>
      <c r="G254" s="5"/>
      <c r="I254" s="6"/>
      <c r="J254" s="5"/>
      <c r="L254" s="5"/>
      <c r="M254" s="7"/>
      <c r="N254" s="5"/>
      <c r="O254" s="5"/>
      <c r="P254" s="5"/>
      <c r="Q254" s="5"/>
      <c r="R254" s="5"/>
    </row>
    <row r="255" spans="3:18" x14ac:dyDescent="0.35">
      <c r="C255" s="5"/>
      <c r="D255" s="5"/>
      <c r="E255" s="5"/>
      <c r="F255" s="7"/>
      <c r="G255" s="5"/>
      <c r="I255" s="6"/>
      <c r="J255" s="5"/>
      <c r="L255" s="5"/>
      <c r="M255" s="7"/>
      <c r="N255" s="5"/>
      <c r="O255" s="5"/>
      <c r="P255" s="5"/>
      <c r="Q255" s="5"/>
      <c r="R255" s="5"/>
    </row>
    <row r="256" spans="3:18" x14ac:dyDescent="0.35">
      <c r="C256" s="5"/>
      <c r="D256" s="5"/>
      <c r="E256" s="5"/>
      <c r="F256" s="7"/>
      <c r="G256" s="5"/>
      <c r="I256" s="6"/>
      <c r="J256" s="5"/>
      <c r="L256" s="5"/>
      <c r="M256" s="7"/>
      <c r="N256" s="5"/>
      <c r="O256" s="5"/>
      <c r="P256" s="5"/>
      <c r="Q256" s="5"/>
      <c r="R256" s="5"/>
    </row>
    <row r="257" spans="3:18" x14ac:dyDescent="0.35">
      <c r="C257" s="5"/>
      <c r="D257" s="5"/>
      <c r="E257" s="5"/>
      <c r="F257" s="7"/>
      <c r="G257" s="5"/>
      <c r="I257" s="6"/>
      <c r="J257" s="5"/>
      <c r="L257" s="5"/>
      <c r="M257" s="7"/>
      <c r="N257" s="5"/>
      <c r="O257" s="5"/>
      <c r="P257" s="5"/>
      <c r="Q257" s="5"/>
      <c r="R257" s="5"/>
    </row>
    <row r="258" spans="3:18" x14ac:dyDescent="0.35">
      <c r="C258" s="5"/>
      <c r="D258" s="5"/>
      <c r="E258" s="5"/>
      <c r="F258" s="7"/>
      <c r="G258" s="5"/>
      <c r="I258" s="6"/>
      <c r="J258" s="5"/>
      <c r="L258" s="5"/>
      <c r="M258" s="7"/>
      <c r="N258" s="5"/>
      <c r="O258" s="5"/>
      <c r="P258" s="5"/>
      <c r="Q258" s="5"/>
      <c r="R258" s="5"/>
    </row>
    <row r="259" spans="3:18" x14ac:dyDescent="0.35">
      <c r="C259" s="5"/>
      <c r="D259" s="5"/>
      <c r="E259" s="5"/>
      <c r="F259" s="7"/>
      <c r="G259" s="5"/>
      <c r="I259" s="6"/>
      <c r="J259" s="5"/>
      <c r="L259" s="5"/>
      <c r="M259" s="7"/>
      <c r="N259" s="5"/>
      <c r="O259" s="5"/>
      <c r="P259" s="5"/>
      <c r="Q259" s="5"/>
      <c r="R259" s="5"/>
    </row>
    <row r="260" spans="3:18" x14ac:dyDescent="0.35">
      <c r="C260" s="5"/>
      <c r="D260" s="5"/>
      <c r="E260" s="5"/>
      <c r="F260" s="7"/>
      <c r="G260" s="5"/>
      <c r="I260" s="6"/>
      <c r="J260" s="5"/>
      <c r="L260" s="5"/>
      <c r="M260" s="7"/>
      <c r="N260" s="5"/>
      <c r="O260" s="5"/>
      <c r="P260" s="5"/>
      <c r="Q260" s="5"/>
      <c r="R260" s="5"/>
    </row>
    <row r="261" spans="3:18" x14ac:dyDescent="0.35">
      <c r="C261" s="5"/>
      <c r="D261" s="5"/>
      <c r="E261" s="5"/>
      <c r="F261" s="7"/>
      <c r="G261" s="5"/>
      <c r="I261" s="6"/>
      <c r="J261" s="5"/>
      <c r="L261" s="5"/>
      <c r="M261" s="7"/>
      <c r="N261" s="5"/>
      <c r="O261" s="5"/>
      <c r="P261" s="5"/>
      <c r="Q261" s="5"/>
      <c r="R261" s="5"/>
    </row>
    <row r="262" spans="3:18" x14ac:dyDescent="0.35">
      <c r="C262" s="5"/>
      <c r="D262" s="5"/>
      <c r="E262" s="5"/>
      <c r="F262" s="7"/>
      <c r="G262" s="5"/>
      <c r="I262" s="6"/>
      <c r="J262" s="5"/>
      <c r="L262" s="5"/>
      <c r="M262" s="7"/>
      <c r="N262" s="5"/>
      <c r="O262" s="5"/>
      <c r="P262" s="5"/>
      <c r="Q262" s="5"/>
      <c r="R262" s="5"/>
    </row>
    <row r="263" spans="3:18" x14ac:dyDescent="0.35">
      <c r="C263" s="5"/>
      <c r="D263" s="5"/>
      <c r="E263" s="5"/>
      <c r="F263" s="7"/>
      <c r="G263" s="5"/>
      <c r="I263" s="6"/>
      <c r="J263" s="5"/>
      <c r="L263" s="5"/>
      <c r="M263" s="7"/>
      <c r="N263" s="5"/>
      <c r="O263" s="5"/>
      <c r="P263" s="5"/>
      <c r="Q263" s="5"/>
      <c r="R263" s="5"/>
    </row>
    <row r="264" spans="3:18" x14ac:dyDescent="0.35">
      <c r="C264" s="5"/>
      <c r="D264" s="5"/>
      <c r="E264" s="5"/>
      <c r="F264" s="7"/>
      <c r="G264" s="5"/>
      <c r="I264" s="6"/>
      <c r="J264" s="5"/>
      <c r="L264" s="5"/>
      <c r="M264" s="7"/>
      <c r="N264" s="5"/>
      <c r="O264" s="5"/>
      <c r="P264" s="5"/>
      <c r="Q264" s="5"/>
      <c r="R264" s="5"/>
    </row>
    <row r="265" spans="3:18" x14ac:dyDescent="0.35">
      <c r="C265" s="5"/>
      <c r="D265" s="5"/>
      <c r="E265" s="5"/>
      <c r="F265" s="7"/>
      <c r="G265" s="5"/>
      <c r="I265" s="6"/>
      <c r="J265" s="5"/>
      <c r="L265" s="5"/>
      <c r="M265" s="7"/>
      <c r="N265" s="5"/>
      <c r="O265" s="5"/>
      <c r="P265" s="5"/>
      <c r="Q265" s="5"/>
      <c r="R265" s="5"/>
    </row>
    <row r="266" spans="3:18" x14ac:dyDescent="0.35">
      <c r="C266" s="5"/>
      <c r="D266" s="5"/>
      <c r="E266" s="5"/>
      <c r="F266" s="7"/>
      <c r="G266" s="5"/>
      <c r="I266" s="6"/>
      <c r="J266" s="5"/>
      <c r="L266" s="5"/>
      <c r="M266" s="7"/>
      <c r="N266" s="5"/>
      <c r="O266" s="5"/>
      <c r="P266" s="5"/>
      <c r="Q266" s="5"/>
      <c r="R266" s="5"/>
    </row>
    <row r="267" spans="3:18" x14ac:dyDescent="0.35">
      <c r="C267" s="5"/>
      <c r="D267" s="5"/>
      <c r="E267" s="5"/>
      <c r="F267" s="7"/>
      <c r="G267" s="5"/>
      <c r="I267" s="6"/>
      <c r="J267" s="5"/>
      <c r="L267" s="5"/>
      <c r="M267" s="7"/>
      <c r="N267" s="5"/>
      <c r="O267" s="5"/>
      <c r="P267" s="5"/>
      <c r="Q267" s="5"/>
      <c r="R267" s="5"/>
    </row>
    <row r="268" spans="3:18" x14ac:dyDescent="0.35">
      <c r="C268" s="5"/>
      <c r="D268" s="5"/>
      <c r="E268" s="5"/>
      <c r="F268" s="7"/>
      <c r="G268" s="5"/>
      <c r="I268" s="6"/>
      <c r="J268" s="5"/>
      <c r="L268" s="5"/>
      <c r="M268" s="7"/>
      <c r="N268" s="5"/>
      <c r="O268" s="5"/>
      <c r="P268" s="5"/>
      <c r="Q268" s="5"/>
      <c r="R268" s="5"/>
    </row>
    <row r="269" spans="3:18" x14ac:dyDescent="0.35">
      <c r="C269" s="5"/>
      <c r="D269" s="5"/>
      <c r="E269" s="5"/>
      <c r="F269" s="7"/>
      <c r="G269" s="5"/>
      <c r="I269" s="6"/>
      <c r="J269" s="5"/>
      <c r="L269" s="5"/>
      <c r="M269" s="7"/>
      <c r="N269" s="5"/>
      <c r="O269" s="5"/>
      <c r="P269" s="5"/>
      <c r="Q269" s="5"/>
      <c r="R269" s="5"/>
    </row>
    <row r="270" spans="3:18" x14ac:dyDescent="0.35">
      <c r="C270" s="5"/>
      <c r="D270" s="5"/>
      <c r="E270" s="5"/>
      <c r="F270" s="7"/>
      <c r="G270" s="5"/>
      <c r="I270" s="6"/>
      <c r="J270" s="5"/>
      <c r="L270" s="5"/>
      <c r="M270" s="7"/>
      <c r="N270" s="5"/>
      <c r="O270" s="5"/>
      <c r="P270" s="5"/>
      <c r="Q270" s="5"/>
      <c r="R270" s="5"/>
    </row>
    <row r="271" spans="3:18" x14ac:dyDescent="0.35">
      <c r="C271" s="5"/>
      <c r="D271" s="5"/>
      <c r="E271" s="5"/>
      <c r="F271" s="7"/>
      <c r="G271" s="5"/>
      <c r="I271" s="6"/>
      <c r="J271" s="5"/>
      <c r="L271" s="5"/>
      <c r="M271" s="7"/>
      <c r="N271" s="5"/>
      <c r="O271" s="5"/>
      <c r="P271" s="5"/>
      <c r="Q271" s="5"/>
      <c r="R271" s="5"/>
    </row>
    <row r="272" spans="3:18" x14ac:dyDescent="0.35">
      <c r="C272" s="5"/>
      <c r="D272" s="5"/>
      <c r="E272" s="5"/>
      <c r="F272" s="7"/>
      <c r="G272" s="5"/>
      <c r="I272" s="6"/>
      <c r="J272" s="5"/>
      <c r="L272" s="5"/>
      <c r="M272" s="7"/>
      <c r="N272" s="5"/>
      <c r="O272" s="5"/>
      <c r="P272" s="5"/>
      <c r="Q272" s="5"/>
      <c r="R272" s="5"/>
    </row>
    <row r="273" spans="3:18" x14ac:dyDescent="0.35">
      <c r="C273" s="5"/>
      <c r="D273" s="5"/>
      <c r="E273" s="5"/>
      <c r="F273" s="7"/>
      <c r="G273" s="5"/>
      <c r="I273" s="6"/>
      <c r="J273" s="5"/>
      <c r="L273" s="5"/>
      <c r="M273" s="7"/>
      <c r="N273" s="5"/>
      <c r="O273" s="5"/>
      <c r="P273" s="5"/>
      <c r="Q273" s="5"/>
      <c r="R273" s="5"/>
    </row>
    <row r="274" spans="3:18" x14ac:dyDescent="0.35">
      <c r="C274" s="5"/>
      <c r="D274" s="5"/>
      <c r="E274" s="5"/>
      <c r="F274" s="7"/>
      <c r="G274" s="5"/>
      <c r="I274" s="6"/>
      <c r="J274" s="5"/>
      <c r="L274" s="5"/>
      <c r="M274" s="7"/>
      <c r="N274" s="5"/>
      <c r="O274" s="5"/>
      <c r="P274" s="5"/>
      <c r="Q274" s="5"/>
      <c r="R274" s="5"/>
    </row>
    <row r="275" spans="3:18" x14ac:dyDescent="0.35">
      <c r="C275" s="5"/>
      <c r="D275" s="5"/>
      <c r="E275" s="5"/>
      <c r="F275" s="7"/>
      <c r="G275" s="5"/>
      <c r="I275" s="6"/>
      <c r="J275" s="5"/>
      <c r="L275" s="5"/>
      <c r="M275" s="7"/>
      <c r="N275" s="5"/>
      <c r="O275" s="5"/>
      <c r="P275" s="5"/>
      <c r="Q275" s="5"/>
      <c r="R275" s="5"/>
    </row>
    <row r="276" spans="3:18" x14ac:dyDescent="0.35">
      <c r="C276" s="5"/>
      <c r="D276" s="5"/>
      <c r="E276" s="5"/>
      <c r="F276" s="7"/>
      <c r="G276" s="5"/>
      <c r="I276" s="6"/>
      <c r="J276" s="5"/>
      <c r="L276" s="5"/>
      <c r="M276" s="7"/>
      <c r="N276" s="5"/>
      <c r="O276" s="5"/>
      <c r="P276" s="5"/>
      <c r="Q276" s="5"/>
      <c r="R276" s="5"/>
    </row>
    <row r="277" spans="3:18" x14ac:dyDescent="0.35">
      <c r="C277" s="5"/>
      <c r="D277" s="5"/>
      <c r="E277" s="5"/>
      <c r="F277" s="7"/>
      <c r="G277" s="5"/>
      <c r="I277" s="6"/>
      <c r="J277" s="5"/>
      <c r="L277" s="5"/>
      <c r="M277" s="7"/>
      <c r="N277" s="5"/>
      <c r="O277" s="5"/>
      <c r="P277" s="5"/>
      <c r="Q277" s="5"/>
      <c r="R277" s="5"/>
    </row>
    <row r="278" spans="3:18" x14ac:dyDescent="0.35">
      <c r="C278" s="5"/>
      <c r="D278" s="5"/>
      <c r="E278" s="5"/>
      <c r="F278" s="7"/>
      <c r="G278" s="5"/>
      <c r="I278" s="6"/>
      <c r="J278" s="5"/>
      <c r="L278" s="5"/>
      <c r="M278" s="7"/>
      <c r="N278" s="5"/>
      <c r="O278" s="5"/>
      <c r="P278" s="5"/>
      <c r="Q278" s="5"/>
      <c r="R278" s="5"/>
    </row>
    <row r="279" spans="3:18" x14ac:dyDescent="0.35">
      <c r="C279" s="5"/>
      <c r="D279" s="5"/>
      <c r="E279" s="5"/>
      <c r="F279" s="7"/>
      <c r="G279" s="5"/>
      <c r="I279" s="6"/>
      <c r="J279" s="5"/>
      <c r="L279" s="5"/>
      <c r="M279" s="7"/>
      <c r="N279" s="5"/>
      <c r="O279" s="5"/>
      <c r="P279" s="5"/>
      <c r="Q279" s="5"/>
      <c r="R279" s="5"/>
    </row>
    <row r="280" spans="3:18" x14ac:dyDescent="0.35">
      <c r="C280" s="5"/>
      <c r="D280" s="5"/>
      <c r="E280" s="5"/>
      <c r="F280" s="7"/>
      <c r="G280" s="5"/>
      <c r="I280" s="6"/>
      <c r="J280" s="5"/>
      <c r="L280" s="5"/>
      <c r="M280" s="7"/>
      <c r="N280" s="5"/>
      <c r="O280" s="5"/>
      <c r="P280" s="5"/>
      <c r="Q280" s="5"/>
      <c r="R280" s="5"/>
    </row>
    <row r="281" spans="3:18" x14ac:dyDescent="0.35">
      <c r="C281" s="5"/>
      <c r="D281" s="5"/>
      <c r="E281" s="5"/>
      <c r="F281" s="7"/>
      <c r="G281" s="5"/>
      <c r="I281" s="6"/>
      <c r="J281" s="5"/>
      <c r="L281" s="5"/>
      <c r="M281" s="7"/>
      <c r="N281" s="5"/>
      <c r="O281" s="5"/>
      <c r="P281" s="5"/>
      <c r="Q281" s="5"/>
      <c r="R281" s="5"/>
    </row>
    <row r="282" spans="3:18" x14ac:dyDescent="0.35">
      <c r="C282" s="5"/>
      <c r="D282" s="5"/>
      <c r="E282" s="5"/>
      <c r="F282" s="7"/>
      <c r="G282" s="5"/>
      <c r="I282" s="6"/>
      <c r="J282" s="5"/>
      <c r="L282" s="5"/>
      <c r="M282" s="7"/>
      <c r="N282" s="5"/>
      <c r="O282" s="5"/>
      <c r="P282" s="5"/>
      <c r="Q282" s="5"/>
      <c r="R282" s="5"/>
    </row>
    <row r="283" spans="3:18" x14ac:dyDescent="0.35">
      <c r="C283" s="5"/>
      <c r="D283" s="5"/>
      <c r="E283" s="5"/>
      <c r="F283" s="7"/>
      <c r="G283" s="5"/>
      <c r="I283" s="6"/>
      <c r="J283" s="5"/>
      <c r="L283" s="5"/>
      <c r="M283" s="7"/>
      <c r="N283" s="5"/>
      <c r="O283" s="5"/>
      <c r="P283" s="5"/>
      <c r="Q283" s="5"/>
      <c r="R283" s="5"/>
    </row>
    <row r="284" spans="3:18" x14ac:dyDescent="0.35">
      <c r="C284" s="5"/>
      <c r="D284" s="5"/>
      <c r="E284" s="5"/>
      <c r="F284" s="7"/>
      <c r="G284" s="5"/>
      <c r="I284" s="6"/>
      <c r="J284" s="5"/>
      <c r="L284" s="5"/>
      <c r="M284" s="7"/>
      <c r="N284" s="5"/>
      <c r="O284" s="5"/>
      <c r="P284" s="5"/>
      <c r="Q284" s="5"/>
      <c r="R284" s="5"/>
    </row>
    <row r="285" spans="3:18" x14ac:dyDescent="0.35">
      <c r="C285" s="5"/>
      <c r="D285" s="5"/>
      <c r="E285" s="5"/>
      <c r="F285" s="7"/>
      <c r="G285" s="5"/>
      <c r="I285" s="6"/>
      <c r="J285" s="5"/>
      <c r="L285" s="5"/>
      <c r="M285" s="7"/>
      <c r="N285" s="5"/>
      <c r="O285" s="5"/>
      <c r="P285" s="5"/>
      <c r="Q285" s="5"/>
      <c r="R285" s="5"/>
    </row>
    <row r="286" spans="3:18" x14ac:dyDescent="0.35">
      <c r="C286" s="5"/>
      <c r="D286" s="5"/>
      <c r="E286" s="5"/>
      <c r="F286" s="7"/>
      <c r="G286" s="5"/>
      <c r="I286" s="6"/>
      <c r="J286" s="5"/>
      <c r="L286" s="5"/>
      <c r="M286" s="7"/>
      <c r="N286" s="5"/>
      <c r="O286" s="5"/>
      <c r="P286" s="5"/>
      <c r="Q286" s="5"/>
      <c r="R286" s="5"/>
    </row>
    <row r="287" spans="3:18" x14ac:dyDescent="0.35">
      <c r="C287" s="5"/>
      <c r="D287" s="5"/>
      <c r="E287" s="5"/>
      <c r="F287" s="7"/>
      <c r="G287" s="5"/>
      <c r="I287" s="6"/>
      <c r="J287" s="5"/>
      <c r="L287" s="5"/>
      <c r="M287" s="7"/>
      <c r="N287" s="5"/>
      <c r="O287" s="5"/>
      <c r="P287" s="5"/>
      <c r="Q287" s="5"/>
      <c r="R287" s="5"/>
    </row>
    <row r="288" spans="3:18" x14ac:dyDescent="0.35">
      <c r="C288" s="5"/>
      <c r="D288" s="5"/>
      <c r="E288" s="5"/>
      <c r="F288" s="7"/>
      <c r="G288" s="5"/>
      <c r="I288" s="6"/>
      <c r="J288" s="5"/>
      <c r="L288" s="5"/>
      <c r="M288" s="7"/>
      <c r="N288" s="5"/>
      <c r="O288" s="5"/>
      <c r="P288" s="5"/>
      <c r="Q288" s="5"/>
      <c r="R288" s="5"/>
    </row>
    <row r="289" spans="3:18" x14ac:dyDescent="0.35">
      <c r="C289" s="5"/>
      <c r="D289" s="5"/>
      <c r="E289" s="5"/>
      <c r="F289" s="7"/>
      <c r="G289" s="5"/>
      <c r="I289" s="6"/>
      <c r="J289" s="5"/>
      <c r="L289" s="5"/>
      <c r="M289" s="7"/>
      <c r="N289" s="5"/>
      <c r="O289" s="5"/>
      <c r="P289" s="5"/>
      <c r="Q289" s="5"/>
      <c r="R289" s="5"/>
    </row>
    <row r="290" spans="3:18" x14ac:dyDescent="0.35">
      <c r="C290" s="5"/>
      <c r="D290" s="5"/>
      <c r="E290" s="5"/>
      <c r="F290" s="7"/>
      <c r="G290" s="5"/>
      <c r="I290" s="6"/>
      <c r="J290" s="5"/>
      <c r="L290" s="5"/>
      <c r="M290" s="7"/>
      <c r="N290" s="5"/>
      <c r="O290" s="5"/>
      <c r="P290" s="5"/>
      <c r="Q290" s="5"/>
      <c r="R290" s="5"/>
    </row>
    <row r="291" spans="3:18" x14ac:dyDescent="0.35">
      <c r="C291" s="5"/>
      <c r="D291" s="5"/>
      <c r="E291" s="5"/>
      <c r="F291" s="7"/>
      <c r="G291" s="5"/>
      <c r="I291" s="6"/>
      <c r="J291" s="5"/>
      <c r="L291" s="5"/>
      <c r="M291" s="7"/>
      <c r="N291" s="5"/>
      <c r="O291" s="5"/>
      <c r="P291" s="5"/>
      <c r="Q291" s="5"/>
      <c r="R291" s="5"/>
    </row>
    <row r="292" spans="3:18" x14ac:dyDescent="0.35">
      <c r="C292" s="5"/>
      <c r="D292" s="5"/>
      <c r="E292" s="5"/>
      <c r="F292" s="7"/>
      <c r="G292" s="5"/>
      <c r="I292" s="6"/>
      <c r="J292" s="5"/>
      <c r="L292" s="5"/>
      <c r="M292" s="7"/>
      <c r="N292" s="5"/>
      <c r="O292" s="5"/>
      <c r="P292" s="5"/>
      <c r="Q292" s="5"/>
      <c r="R292" s="5"/>
    </row>
    <row r="293" spans="3:18" x14ac:dyDescent="0.35">
      <c r="C293" s="5"/>
      <c r="D293" s="5"/>
      <c r="E293" s="5"/>
      <c r="F293" s="7"/>
      <c r="G293" s="5"/>
      <c r="I293" s="6"/>
      <c r="J293" s="5"/>
      <c r="L293" s="5"/>
      <c r="M293" s="7"/>
      <c r="N293" s="5"/>
      <c r="O293" s="5"/>
      <c r="P293" s="5"/>
      <c r="Q293" s="5"/>
      <c r="R293" s="5"/>
    </row>
    <row r="294" spans="3:18" x14ac:dyDescent="0.35">
      <c r="C294" s="5"/>
      <c r="D294" s="5"/>
      <c r="E294" s="5"/>
      <c r="F294" s="7"/>
      <c r="G294" s="5"/>
      <c r="I294" s="6"/>
      <c r="J294" s="5"/>
      <c r="L294" s="5"/>
      <c r="M294" s="7"/>
      <c r="N294" s="5"/>
      <c r="O294" s="5"/>
      <c r="P294" s="5"/>
      <c r="Q294" s="5"/>
      <c r="R294" s="5"/>
    </row>
    <row r="295" spans="3:18" x14ac:dyDescent="0.35">
      <c r="C295" s="5"/>
      <c r="D295" s="5"/>
      <c r="E295" s="5"/>
      <c r="F295" s="7"/>
      <c r="G295" s="5"/>
      <c r="I295" s="6"/>
      <c r="J295" s="5"/>
      <c r="L295" s="5"/>
      <c r="M295" s="7"/>
      <c r="N295" s="5"/>
      <c r="O295" s="5"/>
      <c r="P295" s="5"/>
      <c r="Q295" s="5"/>
      <c r="R295" s="5"/>
    </row>
    <row r="296" spans="3:18" x14ac:dyDescent="0.35">
      <c r="C296" s="5"/>
      <c r="D296" s="5"/>
      <c r="E296" s="5"/>
      <c r="F296" s="7"/>
      <c r="G296" s="5"/>
      <c r="I296" s="6"/>
      <c r="J296" s="5"/>
      <c r="L296" s="5"/>
      <c r="M296" s="7"/>
      <c r="N296" s="5"/>
      <c r="O296" s="5"/>
      <c r="P296" s="5"/>
      <c r="Q296" s="5"/>
      <c r="R296" s="5"/>
    </row>
    <row r="297" spans="3:18" x14ac:dyDescent="0.35">
      <c r="C297" s="5"/>
      <c r="D297" s="5"/>
      <c r="E297" s="5"/>
      <c r="F297" s="7"/>
      <c r="G297" s="5"/>
      <c r="I297" s="6"/>
      <c r="J297" s="5"/>
      <c r="L297" s="5"/>
      <c r="M297" s="7"/>
      <c r="N297" s="5"/>
      <c r="O297" s="5"/>
      <c r="P297" s="5"/>
      <c r="Q297" s="5"/>
      <c r="R297" s="5"/>
    </row>
    <row r="298" spans="3:18" x14ac:dyDescent="0.35">
      <c r="C298" s="5"/>
      <c r="D298" s="5"/>
      <c r="E298" s="5"/>
      <c r="F298" s="7"/>
      <c r="G298" s="5"/>
      <c r="I298" s="6"/>
      <c r="J298" s="5"/>
      <c r="L298" s="5"/>
      <c r="M298" s="7"/>
      <c r="N298" s="5"/>
      <c r="O298" s="5"/>
      <c r="P298" s="5"/>
      <c r="Q298" s="5"/>
      <c r="R298" s="5"/>
    </row>
    <row r="299" spans="3:18" x14ac:dyDescent="0.35">
      <c r="C299" s="5"/>
      <c r="D299" s="5"/>
      <c r="E299" s="5"/>
      <c r="F299" s="7"/>
      <c r="G299" s="5"/>
      <c r="I299" s="6"/>
      <c r="J299" s="5"/>
      <c r="L299" s="5"/>
      <c r="M299" s="7"/>
      <c r="N299" s="5"/>
      <c r="O299" s="5"/>
      <c r="P299" s="5"/>
      <c r="Q299" s="5"/>
      <c r="R299" s="5"/>
    </row>
    <row r="300" spans="3:18" x14ac:dyDescent="0.35">
      <c r="C300" s="5"/>
      <c r="D300" s="5"/>
      <c r="E300" s="5"/>
      <c r="F300" s="7"/>
      <c r="G300" s="5"/>
      <c r="I300" s="6"/>
      <c r="J300" s="5"/>
      <c r="L300" s="5"/>
      <c r="M300" s="7"/>
      <c r="N300" s="5"/>
      <c r="O300" s="5"/>
      <c r="P300" s="5"/>
      <c r="Q300" s="5"/>
      <c r="R300" s="5"/>
    </row>
    <row r="301" spans="3:18" x14ac:dyDescent="0.35">
      <c r="C301" s="5"/>
      <c r="D301" s="5"/>
      <c r="E301" s="5"/>
      <c r="F301" s="7"/>
      <c r="G301" s="5"/>
      <c r="I301" s="6"/>
      <c r="J301" s="5"/>
      <c r="L301" s="5"/>
      <c r="M301" s="7"/>
      <c r="N301" s="5"/>
      <c r="O301" s="5"/>
      <c r="P301" s="5"/>
      <c r="Q301" s="5"/>
      <c r="R301" s="5"/>
    </row>
    <row r="302" spans="3:18" x14ac:dyDescent="0.35">
      <c r="C302" s="5"/>
      <c r="D302" s="5"/>
      <c r="E302" s="5"/>
      <c r="F302" s="7"/>
      <c r="G302" s="5"/>
      <c r="I302" s="6"/>
      <c r="J302" s="5"/>
      <c r="L302" s="5"/>
      <c r="M302" s="7"/>
      <c r="N302" s="5"/>
      <c r="O302" s="5"/>
      <c r="P302" s="5"/>
      <c r="Q302" s="5"/>
      <c r="R302" s="5"/>
    </row>
    <row r="303" spans="3:18" x14ac:dyDescent="0.35">
      <c r="C303" s="5"/>
      <c r="D303" s="5"/>
      <c r="E303" s="5"/>
      <c r="F303" s="7"/>
      <c r="G303" s="5"/>
      <c r="I303" s="6"/>
      <c r="J303" s="5"/>
      <c r="L303" s="5"/>
      <c r="M303" s="7"/>
      <c r="N303" s="5"/>
      <c r="O303" s="5"/>
      <c r="P303" s="5"/>
      <c r="Q303" s="5"/>
      <c r="R303" s="5"/>
    </row>
    <row r="304" spans="3:18" x14ac:dyDescent="0.35">
      <c r="C304" s="5"/>
      <c r="D304" s="5"/>
      <c r="E304" s="5"/>
      <c r="F304" s="7"/>
      <c r="G304" s="5"/>
      <c r="I304" s="6"/>
      <c r="J304" s="5"/>
      <c r="L304" s="5"/>
      <c r="M304" s="7"/>
      <c r="N304" s="5"/>
      <c r="O304" s="5"/>
      <c r="P304" s="5"/>
      <c r="Q304" s="5"/>
      <c r="R304" s="5"/>
    </row>
    <row r="305" spans="3:18" x14ac:dyDescent="0.35">
      <c r="C305" s="5"/>
      <c r="D305" s="5"/>
      <c r="E305" s="5"/>
      <c r="F305" s="7"/>
      <c r="G305" s="5"/>
      <c r="I305" s="6"/>
      <c r="J305" s="5"/>
      <c r="L305" s="5"/>
      <c r="M305" s="7"/>
      <c r="N305" s="5"/>
      <c r="O305" s="5"/>
      <c r="P305" s="5"/>
      <c r="Q305" s="5"/>
      <c r="R305" s="5"/>
    </row>
    <row r="306" spans="3:18" x14ac:dyDescent="0.35">
      <c r="C306" s="5"/>
      <c r="D306" s="5"/>
      <c r="E306" s="5"/>
      <c r="F306" s="7"/>
      <c r="G306" s="5"/>
      <c r="I306" s="6"/>
      <c r="J306" s="5"/>
      <c r="L306" s="5"/>
      <c r="M306" s="7"/>
      <c r="N306" s="5"/>
      <c r="O306" s="5"/>
      <c r="P306" s="5"/>
      <c r="Q306" s="5"/>
      <c r="R306" s="5"/>
    </row>
    <row r="307" spans="3:18" x14ac:dyDescent="0.35">
      <c r="C307" s="5"/>
      <c r="D307" s="5"/>
      <c r="E307" s="5"/>
      <c r="F307" s="7"/>
      <c r="G307" s="5"/>
      <c r="I307" s="6"/>
      <c r="J307" s="5"/>
      <c r="L307" s="5"/>
      <c r="M307" s="7"/>
      <c r="N307" s="5"/>
      <c r="O307" s="5"/>
      <c r="P307" s="5"/>
      <c r="Q307" s="5"/>
      <c r="R307" s="5"/>
    </row>
    <row r="308" spans="3:18" x14ac:dyDescent="0.35">
      <c r="C308" s="5"/>
      <c r="D308" s="5"/>
      <c r="E308" s="5"/>
      <c r="F308" s="7"/>
      <c r="G308" s="5"/>
      <c r="I308" s="6"/>
      <c r="J308" s="5"/>
      <c r="L308" s="5"/>
      <c r="M308" s="7"/>
      <c r="N308" s="5"/>
      <c r="O308" s="5"/>
      <c r="P308" s="5"/>
      <c r="Q308" s="5"/>
      <c r="R308" s="5"/>
    </row>
    <row r="309" spans="3:18" x14ac:dyDescent="0.35">
      <c r="C309" s="5"/>
      <c r="D309" s="5"/>
      <c r="E309" s="5"/>
      <c r="F309" s="7"/>
      <c r="G309" s="5"/>
      <c r="I309" s="6"/>
      <c r="J309" s="5"/>
      <c r="L309" s="5"/>
      <c r="M309" s="7"/>
      <c r="N309" s="5"/>
      <c r="O309" s="5"/>
      <c r="P309" s="5"/>
      <c r="Q309" s="5"/>
      <c r="R309" s="5"/>
    </row>
    <row r="310" spans="3:18" x14ac:dyDescent="0.35">
      <c r="C310" s="5"/>
      <c r="D310" s="5"/>
      <c r="E310" s="5"/>
      <c r="F310" s="7"/>
      <c r="G310" s="5"/>
      <c r="I310" s="6"/>
      <c r="J310" s="5"/>
      <c r="L310" s="5"/>
      <c r="M310" s="7"/>
      <c r="N310" s="5"/>
      <c r="O310" s="5"/>
      <c r="P310" s="5"/>
      <c r="Q310" s="5"/>
      <c r="R310" s="5"/>
    </row>
    <row r="311" spans="3:18" x14ac:dyDescent="0.35">
      <c r="C311" s="5"/>
      <c r="D311" s="5"/>
      <c r="E311" s="5"/>
      <c r="F311" s="7"/>
      <c r="G311" s="5"/>
      <c r="I311" s="6"/>
      <c r="J311" s="5"/>
      <c r="L311" s="5"/>
      <c r="M311" s="7"/>
      <c r="N311" s="5"/>
      <c r="O311" s="5"/>
      <c r="P311" s="5"/>
      <c r="Q311" s="5"/>
      <c r="R311" s="5"/>
    </row>
    <row r="312" spans="3:18" x14ac:dyDescent="0.35">
      <c r="C312" s="5"/>
      <c r="D312" s="5"/>
      <c r="E312" s="5"/>
      <c r="F312" s="7"/>
      <c r="G312" s="5"/>
      <c r="I312" s="6"/>
      <c r="J312" s="5"/>
      <c r="L312" s="5"/>
      <c r="M312" s="7"/>
      <c r="N312" s="5"/>
      <c r="O312" s="5"/>
      <c r="P312" s="5"/>
      <c r="Q312" s="5"/>
      <c r="R312" s="5"/>
    </row>
    <row r="313" spans="3:18" x14ac:dyDescent="0.35">
      <c r="C313" s="5"/>
      <c r="D313" s="5"/>
      <c r="E313" s="5"/>
      <c r="F313" s="7"/>
      <c r="G313" s="5"/>
      <c r="I313" s="6"/>
      <c r="J313" s="5"/>
      <c r="L313" s="5"/>
      <c r="M313" s="7"/>
      <c r="N313" s="5"/>
      <c r="O313" s="5"/>
      <c r="P313" s="5"/>
      <c r="Q313" s="5"/>
      <c r="R313" s="5"/>
    </row>
    <row r="314" spans="3:18" x14ac:dyDescent="0.35">
      <c r="C314" s="5"/>
      <c r="D314" s="5"/>
      <c r="E314" s="5"/>
      <c r="F314" s="7"/>
      <c r="G314" s="5"/>
      <c r="I314" s="6"/>
      <c r="J314" s="5"/>
      <c r="L314" s="5"/>
      <c r="M314" s="7"/>
      <c r="N314" s="5"/>
      <c r="O314" s="5"/>
      <c r="P314" s="5"/>
      <c r="Q314" s="5"/>
      <c r="R314" s="5"/>
    </row>
    <row r="315" spans="3:18" x14ac:dyDescent="0.35">
      <c r="C315" s="5"/>
      <c r="D315" s="5"/>
      <c r="E315" s="5"/>
      <c r="F315" s="7"/>
      <c r="G315" s="5"/>
      <c r="I315" s="6"/>
      <c r="J315" s="5"/>
      <c r="L315" s="5"/>
      <c r="M315" s="7"/>
      <c r="N315" s="5"/>
      <c r="O315" s="5"/>
      <c r="P315" s="5"/>
      <c r="Q315" s="5"/>
      <c r="R315" s="5"/>
    </row>
    <row r="316" spans="3:18" x14ac:dyDescent="0.35">
      <c r="C316" s="5"/>
      <c r="D316" s="5"/>
      <c r="E316" s="5"/>
      <c r="F316" s="7"/>
      <c r="G316" s="5"/>
      <c r="I316" s="6"/>
      <c r="J316" s="5"/>
      <c r="L316" s="5"/>
      <c r="M316" s="7"/>
      <c r="N316" s="5"/>
      <c r="O316" s="5"/>
      <c r="P316" s="5"/>
      <c r="Q316" s="5"/>
      <c r="R316" s="5"/>
    </row>
    <row r="317" spans="3:18" x14ac:dyDescent="0.35">
      <c r="C317" s="5"/>
      <c r="D317" s="5"/>
      <c r="E317" s="5"/>
      <c r="F317" s="7"/>
      <c r="G317" s="5"/>
      <c r="I317" s="6"/>
      <c r="J317" s="5"/>
      <c r="L317" s="5"/>
      <c r="M317" s="7"/>
      <c r="N317" s="5"/>
      <c r="O317" s="5"/>
      <c r="P317" s="5"/>
      <c r="Q317" s="5"/>
      <c r="R317" s="5"/>
    </row>
    <row r="318" spans="3:18" x14ac:dyDescent="0.35">
      <c r="C318" s="5"/>
      <c r="D318" s="5"/>
      <c r="E318" s="5"/>
      <c r="F318" s="7"/>
      <c r="G318" s="5"/>
      <c r="I318" s="6"/>
      <c r="J318" s="5"/>
      <c r="L318" s="5"/>
      <c r="M318" s="7"/>
      <c r="N318" s="5"/>
      <c r="O318" s="5"/>
      <c r="P318" s="5"/>
      <c r="Q318" s="5"/>
      <c r="R318" s="5"/>
    </row>
    <row r="319" spans="3:18" x14ac:dyDescent="0.35">
      <c r="C319" s="5"/>
      <c r="D319" s="5"/>
      <c r="E319" s="5"/>
      <c r="F319" s="7"/>
      <c r="G319" s="5"/>
      <c r="I319" s="6"/>
      <c r="J319" s="5"/>
      <c r="L319" s="5"/>
      <c r="M319" s="7"/>
      <c r="N319" s="5"/>
      <c r="O319" s="5"/>
      <c r="P319" s="5"/>
      <c r="Q319" s="5"/>
      <c r="R319" s="5"/>
    </row>
    <row r="320" spans="3:18" x14ac:dyDescent="0.35">
      <c r="C320" s="5"/>
      <c r="D320" s="5"/>
      <c r="E320" s="5"/>
      <c r="F320" s="7"/>
      <c r="G320" s="5"/>
      <c r="I320" s="6"/>
      <c r="J320" s="5"/>
      <c r="L320" s="5"/>
      <c r="M320" s="7"/>
      <c r="N320" s="5"/>
      <c r="O320" s="5"/>
      <c r="P320" s="5"/>
      <c r="Q320" s="5"/>
      <c r="R320" s="5"/>
    </row>
    <row r="321" spans="3:18" x14ac:dyDescent="0.35">
      <c r="C321" s="5"/>
      <c r="D321" s="5"/>
      <c r="E321" s="5"/>
      <c r="F321" s="7"/>
      <c r="G321" s="5"/>
      <c r="I321" s="6"/>
      <c r="J321" s="5"/>
      <c r="L321" s="5"/>
      <c r="M321" s="7"/>
      <c r="N321" s="5"/>
      <c r="O321" s="5"/>
      <c r="P321" s="5"/>
      <c r="Q321" s="5"/>
      <c r="R321" s="5"/>
    </row>
    <row r="322" spans="3:18" x14ac:dyDescent="0.35">
      <c r="C322" s="5"/>
      <c r="D322" s="5"/>
      <c r="E322" s="5"/>
      <c r="F322" s="7"/>
      <c r="G322" s="5"/>
      <c r="I322" s="6"/>
      <c r="J322" s="5"/>
      <c r="L322" s="5"/>
      <c r="M322" s="7"/>
      <c r="N322" s="5"/>
      <c r="O322" s="5"/>
      <c r="P322" s="5"/>
      <c r="Q322" s="5"/>
      <c r="R322" s="5"/>
    </row>
    <row r="323" spans="3:18" x14ac:dyDescent="0.35">
      <c r="C323" s="5"/>
      <c r="D323" s="5"/>
      <c r="E323" s="5"/>
      <c r="F323" s="7"/>
      <c r="G323" s="5"/>
      <c r="I323" s="6"/>
      <c r="J323" s="5"/>
      <c r="L323" s="5"/>
      <c r="M323" s="7"/>
      <c r="N323" s="5"/>
      <c r="O323" s="5"/>
      <c r="P323" s="5"/>
      <c r="Q323" s="5"/>
      <c r="R323" s="5"/>
    </row>
    <row r="324" spans="3:18" x14ac:dyDescent="0.35">
      <c r="C324" s="5"/>
      <c r="D324" s="5"/>
      <c r="E324" s="5"/>
      <c r="F324" s="7"/>
      <c r="G324" s="5"/>
      <c r="I324" s="6"/>
      <c r="J324" s="5"/>
      <c r="L324" s="5"/>
      <c r="M324" s="7"/>
      <c r="N324" s="5"/>
      <c r="O324" s="5"/>
      <c r="P324" s="5"/>
      <c r="Q324" s="5"/>
      <c r="R324" s="5"/>
    </row>
    <row r="325" spans="3:18" x14ac:dyDescent="0.35">
      <c r="C325" s="5"/>
      <c r="D325" s="5"/>
      <c r="E325" s="5"/>
      <c r="F325" s="7"/>
      <c r="G325" s="5"/>
      <c r="I325" s="6"/>
      <c r="J325" s="5"/>
      <c r="L325" s="5"/>
      <c r="M325" s="7"/>
      <c r="N325" s="5"/>
      <c r="O325" s="5"/>
      <c r="P325" s="5"/>
      <c r="Q325" s="5"/>
      <c r="R325" s="5"/>
    </row>
    <row r="326" spans="3:18" x14ac:dyDescent="0.35">
      <c r="C326" s="5"/>
      <c r="D326" s="5"/>
      <c r="E326" s="5"/>
      <c r="F326" s="7"/>
      <c r="G326" s="5"/>
      <c r="I326" s="6"/>
      <c r="J326" s="5"/>
      <c r="L326" s="5"/>
      <c r="M326" s="7"/>
      <c r="N326" s="5"/>
      <c r="O326" s="5"/>
      <c r="P326" s="5"/>
      <c r="Q326" s="5"/>
      <c r="R326" s="5"/>
    </row>
    <row r="327" spans="3:18" x14ac:dyDescent="0.35">
      <c r="C327" s="5"/>
      <c r="D327" s="5"/>
      <c r="E327" s="5"/>
      <c r="F327" s="7"/>
      <c r="G327" s="5"/>
      <c r="I327" s="6"/>
      <c r="J327" s="5"/>
      <c r="L327" s="5"/>
      <c r="M327" s="7"/>
      <c r="N327" s="5"/>
      <c r="O327" s="5"/>
      <c r="P327" s="5"/>
      <c r="Q327" s="5"/>
      <c r="R327" s="5"/>
    </row>
    <row r="328" spans="3:18" x14ac:dyDescent="0.35">
      <c r="C328" s="5"/>
      <c r="D328" s="5"/>
      <c r="E328" s="5"/>
      <c r="F328" s="7"/>
      <c r="G328" s="5"/>
      <c r="I328" s="6"/>
      <c r="J328" s="5"/>
      <c r="L328" s="5"/>
      <c r="M328" s="7"/>
      <c r="N328" s="5"/>
      <c r="O328" s="5"/>
      <c r="P328" s="5"/>
      <c r="Q328" s="5"/>
      <c r="R328" s="5"/>
    </row>
    <row r="329" spans="3:18" x14ac:dyDescent="0.35">
      <c r="C329" s="5"/>
      <c r="D329" s="5"/>
      <c r="E329" s="5"/>
      <c r="F329" s="7"/>
      <c r="G329" s="5"/>
      <c r="I329" s="6"/>
      <c r="J329" s="5"/>
      <c r="L329" s="5"/>
      <c r="M329" s="7"/>
      <c r="N329" s="5"/>
      <c r="O329" s="5"/>
      <c r="P329" s="5"/>
      <c r="Q329" s="5"/>
      <c r="R329" s="5"/>
    </row>
    <row r="330" spans="3:18" x14ac:dyDescent="0.35">
      <c r="C330" s="5"/>
      <c r="D330" s="5"/>
      <c r="E330" s="5"/>
      <c r="F330" s="7"/>
      <c r="G330" s="5"/>
      <c r="I330" s="6"/>
      <c r="J330" s="5"/>
      <c r="L330" s="5"/>
      <c r="M330" s="7"/>
      <c r="N330" s="5"/>
      <c r="O330" s="5"/>
      <c r="P330" s="5"/>
      <c r="Q330" s="5"/>
      <c r="R330" s="5"/>
    </row>
    <row r="331" spans="3:18" x14ac:dyDescent="0.35">
      <c r="C331" s="5"/>
      <c r="D331" s="5"/>
      <c r="E331" s="5"/>
      <c r="F331" s="7"/>
      <c r="G331" s="5"/>
      <c r="I331" s="6"/>
      <c r="J331" s="5"/>
      <c r="L331" s="5"/>
      <c r="M331" s="7"/>
      <c r="N331" s="5"/>
      <c r="O331" s="5"/>
      <c r="P331" s="5"/>
      <c r="Q331" s="5"/>
      <c r="R331" s="5"/>
    </row>
    <row r="332" spans="3:18" x14ac:dyDescent="0.35">
      <c r="C332" s="5"/>
      <c r="D332" s="5"/>
      <c r="E332" s="5"/>
      <c r="F332" s="7"/>
      <c r="G332" s="5"/>
      <c r="I332" s="6"/>
      <c r="J332" s="5"/>
      <c r="L332" s="5"/>
      <c r="M332" s="7"/>
      <c r="N332" s="5"/>
      <c r="O332" s="5"/>
      <c r="P332" s="5"/>
      <c r="Q332" s="5"/>
      <c r="R332" s="5"/>
    </row>
    <row r="333" spans="3:18" x14ac:dyDescent="0.35">
      <c r="C333" s="5"/>
      <c r="D333" s="5"/>
      <c r="E333" s="5"/>
      <c r="F333" s="7"/>
      <c r="G333" s="5"/>
      <c r="I333" s="6"/>
      <c r="J333" s="5"/>
      <c r="L333" s="5"/>
      <c r="M333" s="7"/>
      <c r="N333" s="5"/>
      <c r="O333" s="5"/>
      <c r="P333" s="5"/>
      <c r="Q333" s="5"/>
      <c r="R333" s="5"/>
    </row>
    <row r="334" spans="3:18" x14ac:dyDescent="0.35">
      <c r="C334" s="5"/>
      <c r="D334" s="5"/>
      <c r="E334" s="5"/>
      <c r="F334" s="7"/>
      <c r="G334" s="5"/>
      <c r="I334" s="6"/>
      <c r="J334" s="5"/>
      <c r="L334" s="5"/>
      <c r="M334" s="7"/>
      <c r="N334" s="5"/>
      <c r="O334" s="5"/>
      <c r="P334" s="5"/>
      <c r="Q334" s="5"/>
      <c r="R334" s="5"/>
    </row>
    <row r="335" spans="3:18" x14ac:dyDescent="0.35">
      <c r="C335" s="5"/>
      <c r="D335" s="5"/>
      <c r="E335" s="5"/>
      <c r="F335" s="7"/>
      <c r="G335" s="5"/>
      <c r="I335" s="6"/>
      <c r="J335" s="5"/>
      <c r="L335" s="5"/>
      <c r="M335" s="7"/>
      <c r="N335" s="5"/>
      <c r="O335" s="5"/>
      <c r="P335" s="5"/>
      <c r="Q335" s="5"/>
      <c r="R335" s="5"/>
    </row>
    <row r="336" spans="3:18" x14ac:dyDescent="0.35">
      <c r="C336" s="5"/>
      <c r="D336" s="5"/>
      <c r="E336" s="5"/>
      <c r="F336" s="7"/>
      <c r="G336" s="5"/>
      <c r="I336" s="6"/>
      <c r="J336" s="5"/>
      <c r="L336" s="5"/>
      <c r="M336" s="7"/>
      <c r="N336" s="5"/>
      <c r="O336" s="5"/>
      <c r="P336" s="5"/>
      <c r="Q336" s="5"/>
      <c r="R336" s="5"/>
    </row>
    <row r="337" spans="3:18" x14ac:dyDescent="0.35">
      <c r="C337" s="5"/>
      <c r="D337" s="5"/>
      <c r="E337" s="5"/>
      <c r="F337" s="7"/>
      <c r="G337" s="5"/>
      <c r="I337" s="6"/>
      <c r="J337" s="5"/>
      <c r="L337" s="5"/>
      <c r="M337" s="7"/>
      <c r="N337" s="5"/>
      <c r="O337" s="5"/>
      <c r="P337" s="5"/>
      <c r="Q337" s="5"/>
      <c r="R337" s="5"/>
    </row>
    <row r="338" spans="3:18" x14ac:dyDescent="0.35">
      <c r="C338" s="5"/>
      <c r="D338" s="5"/>
      <c r="E338" s="5"/>
      <c r="F338" s="7"/>
      <c r="G338" s="5"/>
      <c r="I338" s="6"/>
      <c r="J338" s="5"/>
      <c r="L338" s="5"/>
      <c r="M338" s="7"/>
      <c r="N338" s="5"/>
      <c r="O338" s="5"/>
      <c r="P338" s="5"/>
      <c r="Q338" s="5"/>
      <c r="R338" s="5"/>
    </row>
    <row r="339" spans="3:18" x14ac:dyDescent="0.35">
      <c r="C339" s="5"/>
      <c r="D339" s="5"/>
      <c r="E339" s="5"/>
      <c r="F339" s="7"/>
      <c r="G339" s="5"/>
      <c r="I339" s="6"/>
      <c r="J339" s="5"/>
      <c r="L339" s="5"/>
      <c r="M339" s="7"/>
      <c r="N339" s="5"/>
      <c r="O339" s="5"/>
      <c r="P339" s="5"/>
      <c r="Q339" s="5"/>
      <c r="R339" s="5"/>
    </row>
    <row r="340" spans="3:18" x14ac:dyDescent="0.35">
      <c r="C340" s="5"/>
      <c r="D340" s="5"/>
      <c r="E340" s="5"/>
      <c r="F340" s="7"/>
      <c r="G340" s="5"/>
      <c r="I340" s="6"/>
      <c r="J340" s="5"/>
      <c r="L340" s="5"/>
      <c r="M340" s="7"/>
      <c r="N340" s="5"/>
      <c r="O340" s="5"/>
      <c r="P340" s="5"/>
      <c r="Q340" s="5"/>
      <c r="R340" s="5"/>
    </row>
    <row r="341" spans="3:18" x14ac:dyDescent="0.35">
      <c r="C341" s="5"/>
      <c r="D341" s="5"/>
      <c r="E341" s="5"/>
      <c r="F341" s="7"/>
      <c r="G341" s="5"/>
      <c r="I341" s="6"/>
      <c r="J341" s="5"/>
      <c r="L341" s="5"/>
      <c r="M341" s="7"/>
      <c r="N341" s="5"/>
      <c r="O341" s="5"/>
      <c r="P341" s="5"/>
      <c r="Q341" s="5"/>
      <c r="R341" s="5"/>
    </row>
    <row r="342" spans="3:18" x14ac:dyDescent="0.35">
      <c r="C342" s="5"/>
      <c r="D342" s="5"/>
      <c r="E342" s="5"/>
      <c r="F342" s="7"/>
      <c r="G342" s="5"/>
      <c r="I342" s="6"/>
      <c r="J342" s="5"/>
      <c r="L342" s="5"/>
      <c r="M342" s="7"/>
      <c r="N342" s="5"/>
      <c r="O342" s="5"/>
      <c r="P342" s="5"/>
      <c r="Q342" s="5"/>
      <c r="R342" s="5"/>
    </row>
    <row r="343" spans="3:18" x14ac:dyDescent="0.35">
      <c r="C343" s="5"/>
      <c r="D343" s="5"/>
      <c r="E343" s="5"/>
      <c r="F343" s="7"/>
      <c r="G343" s="5"/>
      <c r="I343" s="6"/>
      <c r="J343" s="5"/>
      <c r="L343" s="5"/>
      <c r="M343" s="7"/>
      <c r="N343" s="5"/>
      <c r="O343" s="5"/>
      <c r="P343" s="5"/>
      <c r="Q343" s="5"/>
      <c r="R343" s="5"/>
    </row>
    <row r="344" spans="3:18" x14ac:dyDescent="0.35">
      <c r="C344" s="5"/>
      <c r="D344" s="5"/>
      <c r="E344" s="5"/>
      <c r="F344" s="7"/>
      <c r="G344" s="5"/>
      <c r="I344" s="6"/>
      <c r="J344" s="5"/>
      <c r="L344" s="5"/>
      <c r="M344" s="7"/>
      <c r="N344" s="5"/>
      <c r="O344" s="5"/>
      <c r="P344" s="5"/>
      <c r="Q344" s="5"/>
      <c r="R344" s="5"/>
    </row>
    <row r="345" spans="3:18" x14ac:dyDescent="0.35">
      <c r="C345" s="5"/>
      <c r="D345" s="5"/>
      <c r="E345" s="5"/>
      <c r="F345" s="7"/>
      <c r="G345" s="5"/>
      <c r="I345" s="6"/>
      <c r="J345" s="5"/>
      <c r="L345" s="5"/>
      <c r="M345" s="7"/>
      <c r="N345" s="5"/>
      <c r="O345" s="5"/>
      <c r="P345" s="5"/>
      <c r="Q345" s="5"/>
      <c r="R345" s="5"/>
    </row>
    <row r="346" spans="3:18" x14ac:dyDescent="0.35">
      <c r="C346" s="5"/>
      <c r="D346" s="5"/>
      <c r="E346" s="5"/>
      <c r="F346" s="7"/>
      <c r="G346" s="5"/>
      <c r="I346" s="6"/>
      <c r="J346" s="5"/>
      <c r="L346" s="5"/>
      <c r="M346" s="7"/>
      <c r="N346" s="5"/>
      <c r="O346" s="5"/>
      <c r="P346" s="5"/>
      <c r="Q346" s="5"/>
      <c r="R346" s="5"/>
    </row>
    <row r="347" spans="3:18" x14ac:dyDescent="0.35">
      <c r="C347" s="5"/>
      <c r="D347" s="5"/>
      <c r="E347" s="5"/>
      <c r="F347" s="7"/>
      <c r="G347" s="5"/>
      <c r="I347" s="6"/>
      <c r="J347" s="5"/>
      <c r="L347" s="5"/>
      <c r="M347" s="7"/>
      <c r="N347" s="5"/>
      <c r="O347" s="5"/>
      <c r="P347" s="5"/>
      <c r="Q347" s="5"/>
      <c r="R347" s="5"/>
    </row>
    <row r="348" spans="3:18" x14ac:dyDescent="0.35">
      <c r="C348" s="5"/>
      <c r="D348" s="5"/>
      <c r="E348" s="5"/>
      <c r="F348" s="7"/>
      <c r="G348" s="5"/>
      <c r="I348" s="6"/>
      <c r="J348" s="5"/>
      <c r="L348" s="5"/>
      <c r="M348" s="7"/>
      <c r="N348" s="5"/>
      <c r="O348" s="5"/>
      <c r="P348" s="5"/>
      <c r="Q348" s="5"/>
      <c r="R348" s="5"/>
    </row>
    <row r="349" spans="3:18" x14ac:dyDescent="0.35">
      <c r="C349" s="5"/>
      <c r="D349" s="5"/>
      <c r="E349" s="5"/>
      <c r="F349" s="7"/>
      <c r="G349" s="5"/>
      <c r="I349" s="6"/>
      <c r="J349" s="5"/>
      <c r="L349" s="5"/>
      <c r="M349" s="7"/>
      <c r="N349" s="5"/>
      <c r="O349" s="5"/>
      <c r="P349" s="5"/>
      <c r="Q349" s="5"/>
      <c r="R349" s="5"/>
    </row>
    <row r="350" spans="3:18" x14ac:dyDescent="0.35">
      <c r="C350" s="5"/>
      <c r="D350" s="5"/>
      <c r="E350" s="5"/>
      <c r="F350" s="7"/>
      <c r="G350" s="5"/>
      <c r="I350" s="6"/>
      <c r="J350" s="5"/>
      <c r="L350" s="5"/>
      <c r="M350" s="7"/>
      <c r="N350" s="5"/>
      <c r="O350" s="5"/>
      <c r="P350" s="5"/>
      <c r="Q350" s="5"/>
      <c r="R350" s="5"/>
    </row>
    <row r="351" spans="3:18" x14ac:dyDescent="0.35">
      <c r="C351" s="5"/>
      <c r="D351" s="5"/>
      <c r="E351" s="5"/>
      <c r="F351" s="7"/>
      <c r="G351" s="5"/>
      <c r="I351" s="6"/>
      <c r="J351" s="5"/>
      <c r="L351" s="5"/>
      <c r="M351" s="7"/>
      <c r="N351" s="5"/>
      <c r="O351" s="5"/>
      <c r="P351" s="5"/>
      <c r="Q351" s="5"/>
      <c r="R351" s="5"/>
    </row>
    <row r="352" spans="3:18" x14ac:dyDescent="0.35">
      <c r="C352" s="5"/>
      <c r="D352" s="5"/>
      <c r="E352" s="5"/>
      <c r="F352" s="7"/>
      <c r="G352" s="5"/>
      <c r="I352" s="6"/>
      <c r="J352" s="5"/>
      <c r="L352" s="5"/>
      <c r="M352" s="7"/>
      <c r="N352" s="5"/>
      <c r="O352" s="5"/>
      <c r="P352" s="5"/>
      <c r="Q352" s="5"/>
      <c r="R352" s="5"/>
    </row>
    <row r="353" spans="3:18" x14ac:dyDescent="0.35">
      <c r="C353" s="5"/>
      <c r="D353" s="5"/>
      <c r="E353" s="5"/>
      <c r="F353" s="7"/>
      <c r="G353" s="5"/>
      <c r="I353" s="6"/>
      <c r="J353" s="5"/>
      <c r="L353" s="5"/>
      <c r="M353" s="7"/>
      <c r="N353" s="5"/>
      <c r="O353" s="5"/>
      <c r="P353" s="5"/>
      <c r="Q353" s="5"/>
      <c r="R353" s="5"/>
    </row>
    <row r="354" spans="3:18" x14ac:dyDescent="0.35">
      <c r="C354" s="5"/>
      <c r="D354" s="5"/>
      <c r="E354" s="5"/>
      <c r="F354" s="7"/>
      <c r="G354" s="5"/>
      <c r="I354" s="6"/>
      <c r="J354" s="5"/>
      <c r="L354" s="5"/>
      <c r="M354" s="7"/>
      <c r="N354" s="5"/>
      <c r="O354" s="5"/>
      <c r="P354" s="5"/>
      <c r="Q354" s="5"/>
      <c r="R354" s="5"/>
    </row>
    <row r="355" spans="3:18" x14ac:dyDescent="0.35">
      <c r="C355" s="5"/>
      <c r="D355" s="5"/>
      <c r="E355" s="5"/>
      <c r="F355" s="7"/>
      <c r="G355" s="5"/>
      <c r="I355" s="6"/>
      <c r="J355" s="5"/>
      <c r="L355" s="5"/>
      <c r="M355" s="7"/>
      <c r="N355" s="5"/>
      <c r="O355" s="5"/>
      <c r="P355" s="5"/>
      <c r="Q355" s="5"/>
      <c r="R355" s="5"/>
    </row>
    <row r="356" spans="3:18" x14ac:dyDescent="0.35">
      <c r="C356" s="5"/>
      <c r="D356" s="5"/>
      <c r="E356" s="5"/>
      <c r="F356" s="7"/>
      <c r="G356" s="5"/>
      <c r="I356" s="6"/>
      <c r="J356" s="5"/>
      <c r="L356" s="5"/>
      <c r="M356" s="7"/>
      <c r="N356" s="5"/>
      <c r="O356" s="5"/>
      <c r="P356" s="5"/>
      <c r="Q356" s="5"/>
      <c r="R356" s="5"/>
    </row>
    <row r="357" spans="3:18" x14ac:dyDescent="0.35">
      <c r="C357" s="5"/>
      <c r="D357" s="5"/>
      <c r="E357" s="5"/>
      <c r="F357" s="7"/>
      <c r="G357" s="5"/>
      <c r="I357" s="6"/>
      <c r="J357" s="5"/>
      <c r="L357" s="5"/>
      <c r="M357" s="7"/>
      <c r="N357" s="5"/>
      <c r="O357" s="5"/>
      <c r="P357" s="5"/>
      <c r="Q357" s="5"/>
      <c r="R357" s="5"/>
    </row>
    <row r="358" spans="3:18" x14ac:dyDescent="0.35">
      <c r="C358" s="5"/>
      <c r="D358" s="5"/>
      <c r="E358" s="5"/>
      <c r="F358" s="7"/>
      <c r="G358" s="5"/>
      <c r="I358" s="6"/>
      <c r="J358" s="5"/>
      <c r="L358" s="5"/>
      <c r="M358" s="7"/>
      <c r="N358" s="5"/>
      <c r="O358" s="5"/>
      <c r="P358" s="5"/>
      <c r="Q358" s="5"/>
      <c r="R358" s="5"/>
    </row>
    <row r="359" spans="3:18" x14ac:dyDescent="0.35">
      <c r="C359" s="5"/>
      <c r="D359" s="5"/>
      <c r="E359" s="5"/>
      <c r="F359" s="7"/>
      <c r="G359" s="5"/>
      <c r="I359" s="6"/>
      <c r="J359" s="5"/>
      <c r="L359" s="5"/>
      <c r="M359" s="7"/>
      <c r="N359" s="5"/>
      <c r="O359" s="5"/>
      <c r="P359" s="5"/>
      <c r="Q359" s="5"/>
      <c r="R359" s="5"/>
    </row>
    <row r="360" spans="3:18" x14ac:dyDescent="0.35">
      <c r="C360" s="5"/>
      <c r="D360" s="5"/>
      <c r="E360" s="5"/>
      <c r="F360" s="7"/>
      <c r="G360" s="5"/>
      <c r="I360" s="6"/>
      <c r="J360" s="5"/>
      <c r="L360" s="5"/>
      <c r="M360" s="7"/>
      <c r="N360" s="5"/>
      <c r="O360" s="5"/>
      <c r="P360" s="5"/>
      <c r="Q360" s="5"/>
      <c r="R360" s="5"/>
    </row>
    <row r="361" spans="3:18" x14ac:dyDescent="0.35">
      <c r="C361" s="5"/>
      <c r="D361" s="5"/>
      <c r="E361" s="5"/>
      <c r="F361" s="7"/>
      <c r="G361" s="5"/>
      <c r="I361" s="6"/>
      <c r="J361" s="5"/>
      <c r="L361" s="5"/>
      <c r="M361" s="7"/>
      <c r="N361" s="5"/>
      <c r="O361" s="5"/>
      <c r="P361" s="5"/>
      <c r="Q361" s="5"/>
      <c r="R361" s="5"/>
    </row>
    <row r="362" spans="3:18" x14ac:dyDescent="0.35">
      <c r="C362" s="5"/>
      <c r="D362" s="5"/>
      <c r="E362" s="5"/>
      <c r="F362" s="7"/>
      <c r="G362" s="5"/>
      <c r="I362" s="6"/>
      <c r="J362" s="5"/>
      <c r="L362" s="5"/>
      <c r="M362" s="7"/>
      <c r="N362" s="5"/>
      <c r="O362" s="5"/>
      <c r="P362" s="5"/>
      <c r="Q362" s="5"/>
      <c r="R362" s="5"/>
    </row>
    <row r="363" spans="3:18" x14ac:dyDescent="0.35">
      <c r="C363" s="5"/>
      <c r="D363" s="5"/>
      <c r="E363" s="5"/>
      <c r="F363" s="7"/>
      <c r="G363" s="5"/>
      <c r="I363" s="6"/>
      <c r="J363" s="5"/>
      <c r="L363" s="5"/>
      <c r="M363" s="7"/>
      <c r="N363" s="5"/>
      <c r="O363" s="5"/>
      <c r="P363" s="5"/>
      <c r="Q363" s="5"/>
      <c r="R363" s="5"/>
    </row>
    <row r="364" spans="3:18" x14ac:dyDescent="0.35">
      <c r="C364" s="5"/>
      <c r="D364" s="5"/>
      <c r="E364" s="5"/>
      <c r="F364" s="7"/>
      <c r="G364" s="5"/>
      <c r="I364" s="6"/>
      <c r="J364" s="5"/>
      <c r="L364" s="5"/>
      <c r="M364" s="7"/>
      <c r="N364" s="5"/>
      <c r="O364" s="5"/>
      <c r="P364" s="5"/>
      <c r="Q364" s="5"/>
      <c r="R364" s="5"/>
    </row>
    <row r="365" spans="3:18" x14ac:dyDescent="0.35">
      <c r="C365" s="5"/>
      <c r="D365" s="5"/>
      <c r="E365" s="5"/>
      <c r="F365" s="7"/>
      <c r="G365" s="5"/>
      <c r="I365" s="6"/>
      <c r="J365" s="5"/>
      <c r="L365" s="5"/>
      <c r="M365" s="7"/>
      <c r="N365" s="5"/>
      <c r="O365" s="5"/>
      <c r="P365" s="5"/>
      <c r="Q365" s="5"/>
      <c r="R365" s="5"/>
    </row>
    <row r="366" spans="3:18" x14ac:dyDescent="0.35">
      <c r="C366" s="5"/>
      <c r="D366" s="5"/>
      <c r="E366" s="5"/>
      <c r="F366" s="7"/>
      <c r="G366" s="5"/>
      <c r="I366" s="6"/>
      <c r="J366" s="5"/>
      <c r="L366" s="5"/>
      <c r="M366" s="7"/>
      <c r="N366" s="5"/>
      <c r="O366" s="5"/>
      <c r="P366" s="5"/>
      <c r="Q366" s="5"/>
      <c r="R366" s="5"/>
    </row>
    <row r="367" spans="3:18" x14ac:dyDescent="0.35">
      <c r="C367" s="5"/>
      <c r="D367" s="5"/>
      <c r="E367" s="5"/>
      <c r="F367" s="7"/>
      <c r="G367" s="5"/>
      <c r="I367" s="6"/>
      <c r="J367" s="5"/>
      <c r="L367" s="5"/>
      <c r="M367" s="7"/>
      <c r="N367" s="5"/>
      <c r="O367" s="5"/>
      <c r="P367" s="5"/>
      <c r="Q367" s="5"/>
      <c r="R367" s="5"/>
    </row>
    <row r="368" spans="3:18" x14ac:dyDescent="0.35">
      <c r="C368" s="5"/>
      <c r="D368" s="5"/>
      <c r="E368" s="5"/>
      <c r="F368" s="7"/>
      <c r="G368" s="5"/>
      <c r="I368" s="6"/>
      <c r="J368" s="5"/>
      <c r="L368" s="5"/>
      <c r="M368" s="7"/>
      <c r="N368" s="5"/>
      <c r="O368" s="5"/>
      <c r="P368" s="5"/>
      <c r="Q368" s="5"/>
      <c r="R368" s="5"/>
    </row>
    <row r="369" spans="3:18" x14ac:dyDescent="0.35">
      <c r="C369" s="5"/>
      <c r="D369" s="5"/>
      <c r="E369" s="5"/>
      <c r="F369" s="7"/>
      <c r="G369" s="5"/>
      <c r="I369" s="6"/>
      <c r="J369" s="5"/>
      <c r="L369" s="5"/>
      <c r="M369" s="7"/>
      <c r="N369" s="5"/>
      <c r="O369" s="5"/>
      <c r="P369" s="5"/>
      <c r="Q369" s="5"/>
      <c r="R369" s="5"/>
    </row>
    <row r="370" spans="3:18" x14ac:dyDescent="0.35">
      <c r="C370" s="5"/>
      <c r="D370" s="5"/>
      <c r="E370" s="5"/>
      <c r="F370" s="7"/>
      <c r="G370" s="5"/>
      <c r="I370" s="6"/>
      <c r="J370" s="5"/>
      <c r="L370" s="5"/>
      <c r="M370" s="7"/>
      <c r="N370" s="5"/>
      <c r="O370" s="5"/>
      <c r="P370" s="5"/>
      <c r="Q370" s="5"/>
      <c r="R370" s="5"/>
    </row>
    <row r="371" spans="3:18" x14ac:dyDescent="0.35">
      <c r="C371" s="5"/>
      <c r="D371" s="5"/>
      <c r="E371" s="5"/>
      <c r="F371" s="7"/>
      <c r="G371" s="5"/>
      <c r="I371" s="6"/>
      <c r="J371" s="5"/>
      <c r="L371" s="5"/>
      <c r="M371" s="7"/>
      <c r="N371" s="5"/>
      <c r="O371" s="5"/>
      <c r="P371" s="5"/>
      <c r="Q371" s="5"/>
      <c r="R371" s="5"/>
    </row>
    <row r="372" spans="3:18" x14ac:dyDescent="0.35">
      <c r="C372" s="5"/>
      <c r="D372" s="5"/>
      <c r="E372" s="5"/>
      <c r="F372" s="7"/>
      <c r="G372" s="5"/>
      <c r="I372" s="6"/>
      <c r="J372" s="5"/>
      <c r="L372" s="5"/>
      <c r="M372" s="7"/>
      <c r="N372" s="5"/>
      <c r="O372" s="5"/>
      <c r="P372" s="5"/>
      <c r="Q372" s="5"/>
      <c r="R372" s="5"/>
    </row>
    <row r="373" spans="3:18" x14ac:dyDescent="0.35">
      <c r="C373" s="5"/>
      <c r="D373" s="5"/>
      <c r="E373" s="5"/>
      <c r="F373" s="7"/>
      <c r="G373" s="5"/>
      <c r="I373" s="6"/>
      <c r="J373" s="5"/>
      <c r="L373" s="5"/>
      <c r="M373" s="7"/>
      <c r="N373" s="5"/>
      <c r="O373" s="5"/>
      <c r="P373" s="5"/>
      <c r="Q373" s="5"/>
      <c r="R373" s="5"/>
    </row>
    <row r="374" spans="3:18" x14ac:dyDescent="0.35">
      <c r="C374" s="5"/>
      <c r="D374" s="5"/>
      <c r="E374" s="5"/>
      <c r="F374" s="7"/>
      <c r="G374" s="5"/>
      <c r="I374" s="6"/>
      <c r="J374" s="5"/>
      <c r="L374" s="5"/>
      <c r="M374" s="7"/>
      <c r="N374" s="5"/>
      <c r="O374" s="5"/>
      <c r="P374" s="5"/>
      <c r="Q374" s="5"/>
      <c r="R374" s="5"/>
    </row>
    <row r="375" spans="3:18" x14ac:dyDescent="0.35">
      <c r="C375" s="5"/>
      <c r="D375" s="5"/>
      <c r="E375" s="5"/>
      <c r="F375" s="7"/>
      <c r="G375" s="5"/>
      <c r="I375" s="6"/>
      <c r="J375" s="5"/>
      <c r="L375" s="5"/>
      <c r="M375" s="7"/>
      <c r="N375" s="5"/>
      <c r="O375" s="5"/>
      <c r="P375" s="5"/>
      <c r="Q375" s="5"/>
      <c r="R375" s="5"/>
    </row>
    <row r="376" spans="3:18" x14ac:dyDescent="0.35">
      <c r="C376" s="5"/>
      <c r="D376" s="5"/>
      <c r="E376" s="5"/>
      <c r="F376" s="7"/>
      <c r="G376" s="5"/>
      <c r="I376" s="6"/>
      <c r="J376" s="5"/>
      <c r="L376" s="5"/>
      <c r="M376" s="7"/>
      <c r="N376" s="5"/>
      <c r="O376" s="5"/>
      <c r="P376" s="5"/>
      <c r="Q376" s="5"/>
      <c r="R376" s="5"/>
    </row>
    <row r="377" spans="3:18" x14ac:dyDescent="0.35">
      <c r="C377" s="5"/>
      <c r="D377" s="5"/>
      <c r="E377" s="5"/>
      <c r="F377" s="7"/>
      <c r="G377" s="5"/>
      <c r="I377" s="6"/>
      <c r="J377" s="5"/>
      <c r="L377" s="5"/>
      <c r="M377" s="7"/>
      <c r="N377" s="5"/>
      <c r="O377" s="5"/>
      <c r="P377" s="5"/>
      <c r="Q377" s="5"/>
      <c r="R377" s="5"/>
    </row>
    <row r="378" spans="3:18" x14ac:dyDescent="0.35">
      <c r="C378" s="5"/>
      <c r="D378" s="5"/>
      <c r="E378" s="5"/>
      <c r="F378" s="7"/>
      <c r="G378" s="5"/>
      <c r="I378" s="6"/>
      <c r="J378" s="5"/>
      <c r="L378" s="5"/>
      <c r="M378" s="7"/>
      <c r="N378" s="5"/>
      <c r="O378" s="5"/>
      <c r="P378" s="5"/>
      <c r="Q378" s="5"/>
      <c r="R378" s="5"/>
    </row>
    <row r="379" spans="3:18" x14ac:dyDescent="0.35">
      <c r="C379" s="5"/>
      <c r="D379" s="5"/>
      <c r="E379" s="5"/>
      <c r="F379" s="7"/>
      <c r="G379" s="5"/>
      <c r="I379" s="6"/>
      <c r="J379" s="5"/>
      <c r="L379" s="5"/>
      <c r="M379" s="7"/>
      <c r="N379" s="5"/>
      <c r="O379" s="5"/>
      <c r="P379" s="5"/>
      <c r="Q379" s="5"/>
      <c r="R379" s="5"/>
    </row>
    <row r="380" spans="3:18" x14ac:dyDescent="0.35">
      <c r="C380" s="5"/>
      <c r="D380" s="5"/>
      <c r="E380" s="5"/>
      <c r="F380" s="7"/>
      <c r="G380" s="5"/>
      <c r="I380" s="6"/>
      <c r="J380" s="5"/>
      <c r="L380" s="5"/>
      <c r="M380" s="7"/>
      <c r="N380" s="5"/>
      <c r="O380" s="5"/>
      <c r="P380" s="5"/>
      <c r="Q380" s="5"/>
      <c r="R380" s="5"/>
    </row>
    <row r="381" spans="3:18" x14ac:dyDescent="0.35">
      <c r="C381" s="5"/>
      <c r="D381" s="5"/>
      <c r="E381" s="5"/>
      <c r="F381" s="7"/>
      <c r="G381" s="5"/>
      <c r="I381" s="6"/>
      <c r="J381" s="5"/>
      <c r="L381" s="5"/>
      <c r="M381" s="7"/>
      <c r="N381" s="5"/>
      <c r="O381" s="5"/>
      <c r="P381" s="5"/>
      <c r="Q381" s="5"/>
      <c r="R381" s="5"/>
    </row>
    <row r="382" spans="3:18" x14ac:dyDescent="0.35">
      <c r="C382" s="5"/>
      <c r="D382" s="5"/>
      <c r="E382" s="5"/>
      <c r="F382" s="7"/>
      <c r="G382" s="5"/>
      <c r="I382" s="6"/>
      <c r="J382" s="5"/>
      <c r="L382" s="5"/>
      <c r="M382" s="7"/>
      <c r="N382" s="5"/>
      <c r="O382" s="5"/>
      <c r="P382" s="5"/>
      <c r="Q382" s="5"/>
      <c r="R382" s="5"/>
    </row>
    <row r="383" spans="3:18" x14ac:dyDescent="0.35">
      <c r="C383" s="5"/>
      <c r="D383" s="5"/>
      <c r="E383" s="5"/>
      <c r="F383" s="7"/>
      <c r="G383" s="5"/>
      <c r="I383" s="6"/>
      <c r="J383" s="5"/>
      <c r="L383" s="5"/>
      <c r="M383" s="7"/>
      <c r="N383" s="5"/>
      <c r="O383" s="5"/>
      <c r="P383" s="5"/>
      <c r="Q383" s="5"/>
      <c r="R383" s="5"/>
    </row>
    <row r="384" spans="3:18" x14ac:dyDescent="0.35">
      <c r="C384" s="5"/>
      <c r="D384" s="5"/>
      <c r="E384" s="5"/>
      <c r="F384" s="7"/>
      <c r="G384" s="5"/>
      <c r="I384" s="6"/>
      <c r="J384" s="5"/>
      <c r="L384" s="5"/>
      <c r="M384" s="7"/>
      <c r="N384" s="5"/>
      <c r="O384" s="5"/>
      <c r="P384" s="5"/>
      <c r="Q384" s="5"/>
      <c r="R384" s="5"/>
    </row>
    <row r="385" spans="3:18" x14ac:dyDescent="0.35">
      <c r="C385" s="5"/>
      <c r="D385" s="5"/>
      <c r="E385" s="5"/>
      <c r="F385" s="7"/>
      <c r="G385" s="5"/>
      <c r="I385" s="6"/>
      <c r="J385" s="5"/>
      <c r="L385" s="5"/>
      <c r="M385" s="7"/>
      <c r="N385" s="5"/>
      <c r="O385" s="5"/>
      <c r="P385" s="5"/>
      <c r="Q385" s="5"/>
      <c r="R385" s="5"/>
    </row>
    <row r="386" spans="3:18" x14ac:dyDescent="0.35">
      <c r="C386" s="5"/>
      <c r="D386" s="5"/>
      <c r="E386" s="5"/>
      <c r="F386" s="7"/>
      <c r="G386" s="5"/>
      <c r="I386" s="6"/>
      <c r="J386" s="5"/>
      <c r="L386" s="5"/>
      <c r="M386" s="7"/>
      <c r="N386" s="5"/>
      <c r="O386" s="5"/>
      <c r="P386" s="5"/>
      <c r="Q386" s="5"/>
      <c r="R386" s="5"/>
    </row>
    <row r="387" spans="3:18" x14ac:dyDescent="0.35">
      <c r="C387" s="5"/>
      <c r="D387" s="5"/>
      <c r="E387" s="5"/>
      <c r="F387" s="7"/>
      <c r="G387" s="5"/>
      <c r="I387" s="6"/>
      <c r="J387" s="5"/>
      <c r="L387" s="5"/>
      <c r="M387" s="7"/>
      <c r="N387" s="5"/>
      <c r="O387" s="5"/>
      <c r="P387" s="5"/>
      <c r="Q387" s="5"/>
      <c r="R387" s="5"/>
    </row>
    <row r="388" spans="3:18" x14ac:dyDescent="0.35">
      <c r="C388" s="5"/>
      <c r="D388" s="5"/>
      <c r="E388" s="5"/>
      <c r="F388" s="7"/>
      <c r="G388" s="5"/>
      <c r="I388" s="6"/>
      <c r="J388" s="5"/>
      <c r="L388" s="5"/>
      <c r="M388" s="7"/>
      <c r="N388" s="5"/>
      <c r="O388" s="5"/>
      <c r="P388" s="5"/>
      <c r="Q388" s="5"/>
      <c r="R388" s="5"/>
    </row>
    <row r="389" spans="3:18" x14ac:dyDescent="0.35">
      <c r="C389" s="5"/>
      <c r="D389" s="5"/>
      <c r="E389" s="5"/>
      <c r="F389" s="7"/>
      <c r="G389" s="5"/>
      <c r="I389" s="6"/>
      <c r="J389" s="5"/>
      <c r="L389" s="5"/>
      <c r="M389" s="7"/>
      <c r="N389" s="5"/>
      <c r="O389" s="5"/>
      <c r="P389" s="5"/>
      <c r="Q389" s="5"/>
      <c r="R389" s="5"/>
    </row>
    <row r="390" spans="3:18" x14ac:dyDescent="0.35">
      <c r="C390" s="5"/>
      <c r="D390" s="5"/>
      <c r="E390" s="5"/>
      <c r="F390" s="7"/>
      <c r="G390" s="5"/>
      <c r="I390" s="6"/>
      <c r="J390" s="5"/>
      <c r="L390" s="5"/>
      <c r="M390" s="7"/>
      <c r="N390" s="5"/>
      <c r="O390" s="5"/>
      <c r="P390" s="5"/>
      <c r="Q390" s="5"/>
      <c r="R390" s="5"/>
    </row>
    <row r="391" spans="3:18" x14ac:dyDescent="0.35">
      <c r="C391" s="5"/>
      <c r="D391" s="5"/>
      <c r="E391" s="5"/>
      <c r="F391" s="7"/>
      <c r="G391" s="5"/>
      <c r="I391" s="6"/>
      <c r="J391" s="5"/>
      <c r="L391" s="5"/>
      <c r="M391" s="7"/>
      <c r="N391" s="5"/>
      <c r="O391" s="5"/>
      <c r="P391" s="5"/>
      <c r="Q391" s="5"/>
      <c r="R391" s="5"/>
    </row>
    <row r="392" spans="3:18" x14ac:dyDescent="0.35">
      <c r="C392" s="5"/>
      <c r="D392" s="5"/>
      <c r="E392" s="5"/>
      <c r="F392" s="7"/>
      <c r="G392" s="5"/>
      <c r="I392" s="6"/>
      <c r="J392" s="5"/>
      <c r="L392" s="5"/>
      <c r="M392" s="7"/>
      <c r="N392" s="5"/>
      <c r="O392" s="5"/>
      <c r="P392" s="5"/>
      <c r="Q392" s="5"/>
      <c r="R392" s="5"/>
    </row>
    <row r="393" spans="3:18" x14ac:dyDescent="0.35">
      <c r="C393" s="5"/>
      <c r="D393" s="5"/>
      <c r="E393" s="5"/>
      <c r="F393" s="7"/>
      <c r="G393" s="5"/>
      <c r="I393" s="6"/>
      <c r="J393" s="5"/>
      <c r="L393" s="5"/>
      <c r="M393" s="7"/>
      <c r="N393" s="5"/>
      <c r="O393" s="5"/>
      <c r="P393" s="5"/>
      <c r="Q393" s="5"/>
      <c r="R393" s="5"/>
    </row>
    <row r="394" spans="3:18" x14ac:dyDescent="0.35">
      <c r="C394" s="5"/>
      <c r="D394" s="5"/>
      <c r="E394" s="5"/>
      <c r="F394" s="7"/>
      <c r="G394" s="5"/>
      <c r="I394" s="6"/>
      <c r="J394" s="5"/>
      <c r="L394" s="5"/>
      <c r="M394" s="7"/>
      <c r="N394" s="5"/>
      <c r="O394" s="5"/>
      <c r="P394" s="5"/>
      <c r="Q394" s="5"/>
      <c r="R394" s="5"/>
    </row>
    <row r="395" spans="3:18" x14ac:dyDescent="0.35">
      <c r="C395" s="5"/>
      <c r="D395" s="5"/>
      <c r="E395" s="5"/>
      <c r="F395" s="7"/>
      <c r="G395" s="5"/>
      <c r="I395" s="6"/>
      <c r="J395" s="5"/>
      <c r="L395" s="5"/>
      <c r="M395" s="7"/>
      <c r="N395" s="5"/>
      <c r="O395" s="5"/>
      <c r="P395" s="5"/>
      <c r="Q395" s="5"/>
      <c r="R395" s="5"/>
    </row>
    <row r="396" spans="3:18" x14ac:dyDescent="0.35">
      <c r="C396" s="5"/>
      <c r="D396" s="5"/>
      <c r="E396" s="5"/>
      <c r="F396" s="7"/>
      <c r="G396" s="5"/>
      <c r="I396" s="6"/>
      <c r="J396" s="5"/>
      <c r="L396" s="5"/>
      <c r="M396" s="7"/>
      <c r="N396" s="5"/>
      <c r="O396" s="5"/>
      <c r="P396" s="5"/>
      <c r="Q396" s="5"/>
      <c r="R396" s="5"/>
    </row>
    <row r="397" spans="3:18" x14ac:dyDescent="0.35">
      <c r="C397" s="5"/>
      <c r="D397" s="5"/>
      <c r="E397" s="5"/>
      <c r="F397" s="7"/>
      <c r="G397" s="5"/>
      <c r="I397" s="6"/>
      <c r="J397" s="5"/>
      <c r="L397" s="5"/>
      <c r="M397" s="7"/>
      <c r="N397" s="5"/>
      <c r="O397" s="5"/>
      <c r="P397" s="5"/>
      <c r="Q397" s="5"/>
      <c r="R397" s="5"/>
    </row>
    <row r="398" spans="3:18" x14ac:dyDescent="0.35">
      <c r="C398" s="5"/>
      <c r="D398" s="5"/>
      <c r="E398" s="5"/>
      <c r="F398" s="7"/>
      <c r="G398" s="5"/>
      <c r="I398" s="6"/>
      <c r="J398" s="5"/>
      <c r="L398" s="5"/>
      <c r="M398" s="7"/>
      <c r="N398" s="5"/>
      <c r="O398" s="5"/>
      <c r="P398" s="5"/>
      <c r="Q398" s="5"/>
      <c r="R398" s="5"/>
    </row>
    <row r="399" spans="3:18" x14ac:dyDescent="0.35">
      <c r="C399" s="5"/>
      <c r="D399" s="5"/>
      <c r="E399" s="5"/>
      <c r="F399" s="7"/>
      <c r="G399" s="5"/>
      <c r="I399" s="6"/>
      <c r="J399" s="5"/>
      <c r="L399" s="5"/>
      <c r="M399" s="7"/>
      <c r="N399" s="5"/>
      <c r="O399" s="5"/>
      <c r="P399" s="5"/>
      <c r="Q399" s="5"/>
      <c r="R399" s="5"/>
    </row>
    <row r="400" spans="3:18" x14ac:dyDescent="0.35">
      <c r="C400" s="5"/>
      <c r="D400" s="5"/>
      <c r="E400" s="5"/>
      <c r="F400" s="7"/>
      <c r="G400" s="5"/>
      <c r="I400" s="6"/>
      <c r="J400" s="5"/>
      <c r="L400" s="5"/>
      <c r="M400" s="7"/>
      <c r="N400" s="5"/>
      <c r="O400" s="5"/>
      <c r="P400" s="5"/>
      <c r="Q400" s="5"/>
      <c r="R400" s="5"/>
    </row>
    <row r="401" spans="3:18" x14ac:dyDescent="0.35">
      <c r="C401" s="5"/>
      <c r="D401" s="5"/>
      <c r="E401" s="5"/>
      <c r="F401" s="7"/>
      <c r="G401" s="5"/>
      <c r="I401" s="6"/>
      <c r="J401" s="5"/>
      <c r="L401" s="5"/>
      <c r="M401" s="7"/>
      <c r="N401" s="5"/>
      <c r="O401" s="5"/>
      <c r="P401" s="5"/>
      <c r="Q401" s="5"/>
      <c r="R401" s="5"/>
    </row>
    <row r="402" spans="3:18" x14ac:dyDescent="0.35">
      <c r="C402" s="5"/>
      <c r="D402" s="5"/>
      <c r="E402" s="5"/>
      <c r="F402" s="7"/>
      <c r="G402" s="5"/>
      <c r="I402" s="6"/>
      <c r="J402" s="5"/>
      <c r="L402" s="5"/>
      <c r="M402" s="7"/>
      <c r="N402" s="5"/>
      <c r="O402" s="5"/>
      <c r="P402" s="5"/>
      <c r="Q402" s="5"/>
      <c r="R402" s="5"/>
    </row>
    <row r="403" spans="3:18" x14ac:dyDescent="0.35">
      <c r="C403" s="5"/>
      <c r="D403" s="5"/>
      <c r="E403" s="5"/>
      <c r="F403" s="7"/>
      <c r="G403" s="5"/>
      <c r="I403" s="6"/>
      <c r="J403" s="5"/>
      <c r="L403" s="5"/>
      <c r="M403" s="7"/>
      <c r="N403" s="5"/>
      <c r="O403" s="5"/>
      <c r="P403" s="5"/>
      <c r="Q403" s="5"/>
      <c r="R403" s="5"/>
    </row>
    <row r="404" spans="3:18" x14ac:dyDescent="0.35">
      <c r="C404" s="5"/>
      <c r="D404" s="5"/>
      <c r="E404" s="5"/>
      <c r="F404" s="7"/>
      <c r="G404" s="5"/>
      <c r="I404" s="6"/>
      <c r="J404" s="5"/>
      <c r="L404" s="5"/>
      <c r="M404" s="7"/>
      <c r="N404" s="5"/>
      <c r="O404" s="5"/>
      <c r="P404" s="5"/>
      <c r="Q404" s="5"/>
      <c r="R404" s="5"/>
    </row>
    <row r="405" spans="3:18" x14ac:dyDescent="0.35">
      <c r="C405" s="5"/>
      <c r="D405" s="5"/>
      <c r="E405" s="5"/>
      <c r="F405" s="7"/>
      <c r="G405" s="5"/>
      <c r="I405" s="6"/>
      <c r="J405" s="5"/>
      <c r="L405" s="5"/>
      <c r="M405" s="7"/>
      <c r="N405" s="5"/>
      <c r="O405" s="5"/>
      <c r="P405" s="5"/>
      <c r="Q405" s="5"/>
      <c r="R405" s="5"/>
    </row>
    <row r="406" spans="3:18" x14ac:dyDescent="0.35">
      <c r="C406" s="5"/>
      <c r="D406" s="5"/>
      <c r="E406" s="5"/>
      <c r="F406" s="7"/>
      <c r="G406" s="5"/>
      <c r="I406" s="6"/>
      <c r="J406" s="5"/>
      <c r="L406" s="5"/>
      <c r="M406" s="7"/>
      <c r="N406" s="5"/>
      <c r="O406" s="5"/>
      <c r="P406" s="5"/>
      <c r="Q406" s="5"/>
      <c r="R406" s="5"/>
    </row>
    <row r="407" spans="3:18" x14ac:dyDescent="0.35">
      <c r="C407" s="5"/>
      <c r="D407" s="5"/>
      <c r="E407" s="5"/>
      <c r="F407" s="7"/>
      <c r="G407" s="5"/>
      <c r="I407" s="6"/>
      <c r="J407" s="5"/>
      <c r="L407" s="5"/>
      <c r="M407" s="7"/>
      <c r="N407" s="5"/>
      <c r="O407" s="5"/>
      <c r="P407" s="5"/>
      <c r="Q407" s="5"/>
      <c r="R407" s="5"/>
    </row>
    <row r="408" spans="3:18" x14ac:dyDescent="0.35">
      <c r="C408" s="5"/>
      <c r="D408" s="5"/>
      <c r="E408" s="5"/>
      <c r="F408" s="7"/>
      <c r="G408" s="5"/>
      <c r="I408" s="6"/>
      <c r="J408" s="5"/>
      <c r="L408" s="5"/>
      <c r="M408" s="7"/>
      <c r="N408" s="5"/>
      <c r="O408" s="5"/>
      <c r="P408" s="5"/>
      <c r="Q408" s="5"/>
      <c r="R408" s="5"/>
    </row>
    <row r="409" spans="3:18" x14ac:dyDescent="0.35">
      <c r="C409" s="5"/>
      <c r="D409" s="5"/>
      <c r="E409" s="5"/>
      <c r="F409" s="7"/>
      <c r="G409" s="5"/>
      <c r="I409" s="6"/>
      <c r="J409" s="5"/>
      <c r="L409" s="5"/>
      <c r="M409" s="7"/>
      <c r="N409" s="5"/>
      <c r="O409" s="5"/>
      <c r="P409" s="5"/>
      <c r="Q409" s="5"/>
      <c r="R409" s="5"/>
    </row>
    <row r="410" spans="3:18" x14ac:dyDescent="0.35">
      <c r="C410" s="5"/>
      <c r="D410" s="5"/>
      <c r="E410" s="5"/>
      <c r="F410" s="7"/>
      <c r="G410" s="5"/>
      <c r="I410" s="6"/>
      <c r="J410" s="5"/>
      <c r="L410" s="5"/>
      <c r="M410" s="7"/>
      <c r="N410" s="5"/>
      <c r="O410" s="5"/>
      <c r="P410" s="5"/>
      <c r="Q410" s="5"/>
      <c r="R410" s="5"/>
    </row>
    <row r="411" spans="3:18" x14ac:dyDescent="0.35">
      <c r="C411" s="5"/>
      <c r="D411" s="5"/>
      <c r="E411" s="5"/>
      <c r="F411" s="7"/>
      <c r="G411" s="5"/>
      <c r="I411" s="6"/>
      <c r="J411" s="5"/>
      <c r="L411" s="5"/>
      <c r="M411" s="7"/>
      <c r="N411" s="5"/>
      <c r="O411" s="5"/>
      <c r="P411" s="5"/>
      <c r="Q411" s="5"/>
      <c r="R411" s="5"/>
    </row>
    <row r="412" spans="3:18" x14ac:dyDescent="0.35">
      <c r="C412" s="5"/>
      <c r="D412" s="5"/>
      <c r="E412" s="5"/>
      <c r="F412" s="7"/>
      <c r="G412" s="5"/>
      <c r="I412" s="6"/>
      <c r="J412" s="5"/>
      <c r="L412" s="5"/>
      <c r="M412" s="7"/>
      <c r="N412" s="5"/>
      <c r="O412" s="5"/>
      <c r="P412" s="5"/>
      <c r="Q412" s="5"/>
      <c r="R412" s="5"/>
    </row>
    <row r="413" spans="3:18" x14ac:dyDescent="0.35">
      <c r="C413" s="5"/>
      <c r="D413" s="5"/>
      <c r="E413" s="5"/>
      <c r="F413" s="7"/>
      <c r="G413" s="5"/>
      <c r="I413" s="6"/>
      <c r="J413" s="5"/>
      <c r="L413" s="5"/>
      <c r="M413" s="7"/>
      <c r="N413" s="5"/>
      <c r="O413" s="5"/>
      <c r="P413" s="5"/>
      <c r="Q413" s="5"/>
      <c r="R413" s="5"/>
    </row>
    <row r="414" spans="3:18" x14ac:dyDescent="0.35">
      <c r="C414" s="5"/>
      <c r="D414" s="5"/>
      <c r="E414" s="5"/>
      <c r="F414" s="7"/>
      <c r="G414" s="5"/>
      <c r="I414" s="6"/>
      <c r="J414" s="5"/>
      <c r="L414" s="5"/>
      <c r="M414" s="7"/>
      <c r="N414" s="5"/>
      <c r="O414" s="5"/>
      <c r="P414" s="5"/>
      <c r="Q414" s="5"/>
      <c r="R414" s="5"/>
    </row>
    <row r="415" spans="3:18" x14ac:dyDescent="0.35">
      <c r="C415" s="5"/>
      <c r="D415" s="5"/>
      <c r="E415" s="5"/>
      <c r="F415" s="7"/>
      <c r="G415" s="5"/>
      <c r="I415" s="6"/>
      <c r="J415" s="5"/>
      <c r="L415" s="5"/>
      <c r="M415" s="7"/>
      <c r="N415" s="5"/>
      <c r="O415" s="5"/>
      <c r="P415" s="5"/>
      <c r="Q415" s="5"/>
      <c r="R415" s="5"/>
    </row>
    <row r="416" spans="3:18" x14ac:dyDescent="0.35">
      <c r="C416" s="5"/>
      <c r="D416" s="5"/>
      <c r="E416" s="5"/>
      <c r="F416" s="7"/>
      <c r="G416" s="5"/>
      <c r="I416" s="6"/>
      <c r="J416" s="5"/>
      <c r="L416" s="5"/>
      <c r="M416" s="7"/>
      <c r="N416" s="5"/>
      <c r="O416" s="5"/>
      <c r="P416" s="5"/>
      <c r="Q416" s="5"/>
      <c r="R416" s="5"/>
    </row>
    <row r="417" spans="3:18" x14ac:dyDescent="0.35">
      <c r="C417" s="5"/>
      <c r="D417" s="5"/>
      <c r="E417" s="5"/>
      <c r="F417" s="7"/>
      <c r="G417" s="5"/>
      <c r="I417" s="6"/>
      <c r="J417" s="5"/>
      <c r="L417" s="5"/>
      <c r="M417" s="7"/>
      <c r="N417" s="5"/>
      <c r="O417" s="5"/>
      <c r="P417" s="5"/>
      <c r="Q417" s="5"/>
      <c r="R417" s="5"/>
    </row>
    <row r="418" spans="3:18" x14ac:dyDescent="0.35">
      <c r="C418" s="5"/>
      <c r="D418" s="5"/>
      <c r="E418" s="5"/>
      <c r="F418" s="7"/>
      <c r="G418" s="5"/>
      <c r="I418" s="6"/>
      <c r="J418" s="5"/>
      <c r="L418" s="5"/>
      <c r="M418" s="7"/>
      <c r="N418" s="5"/>
      <c r="O418" s="5"/>
      <c r="P418" s="5"/>
      <c r="Q418" s="5"/>
      <c r="R418" s="5"/>
    </row>
    <row r="419" spans="3:18" x14ac:dyDescent="0.35">
      <c r="C419" s="5"/>
      <c r="D419" s="5"/>
      <c r="E419" s="5"/>
      <c r="F419" s="7"/>
      <c r="G419" s="5"/>
      <c r="I419" s="6"/>
      <c r="J419" s="5"/>
      <c r="L419" s="5"/>
      <c r="M419" s="7"/>
      <c r="N419" s="5"/>
      <c r="O419" s="5"/>
      <c r="P419" s="5"/>
      <c r="Q419" s="5"/>
      <c r="R419" s="5"/>
    </row>
    <row r="420" spans="3:18" x14ac:dyDescent="0.35">
      <c r="C420" s="5"/>
      <c r="D420" s="5"/>
      <c r="E420" s="5"/>
      <c r="F420" s="7"/>
      <c r="G420" s="5"/>
      <c r="I420" s="6"/>
      <c r="J420" s="5"/>
      <c r="L420" s="5"/>
      <c r="M420" s="7"/>
      <c r="N420" s="5"/>
      <c r="O420" s="5"/>
      <c r="P420" s="5"/>
      <c r="Q420" s="5"/>
      <c r="R420" s="5"/>
    </row>
    <row r="421" spans="3:18" x14ac:dyDescent="0.35">
      <c r="C421" s="5"/>
      <c r="D421" s="5"/>
      <c r="E421" s="5"/>
      <c r="F421" s="7"/>
      <c r="G421" s="5"/>
      <c r="I421" s="6"/>
      <c r="J421" s="5"/>
      <c r="L421" s="5"/>
      <c r="M421" s="7"/>
      <c r="N421" s="5"/>
      <c r="O421" s="5"/>
      <c r="P421" s="5"/>
      <c r="Q421" s="5"/>
      <c r="R421" s="5"/>
    </row>
    <row r="422" spans="3:18" x14ac:dyDescent="0.35">
      <c r="C422" s="5"/>
      <c r="D422" s="5"/>
      <c r="E422" s="5"/>
      <c r="F422" s="7"/>
      <c r="G422" s="5"/>
      <c r="I422" s="6"/>
      <c r="J422" s="5"/>
      <c r="L422" s="5"/>
      <c r="M422" s="7"/>
      <c r="N422" s="5"/>
      <c r="O422" s="5"/>
      <c r="P422" s="5"/>
      <c r="Q422" s="5"/>
      <c r="R422" s="5"/>
    </row>
    <row r="423" spans="3:18" x14ac:dyDescent="0.35">
      <c r="C423" s="5"/>
      <c r="D423" s="5"/>
      <c r="E423" s="5"/>
      <c r="F423" s="7"/>
      <c r="G423" s="5"/>
      <c r="I423" s="6"/>
      <c r="J423" s="5"/>
      <c r="L423" s="5"/>
      <c r="M423" s="7"/>
      <c r="N423" s="5"/>
      <c r="O423" s="5"/>
      <c r="P423" s="5"/>
      <c r="Q423" s="5"/>
      <c r="R423" s="5"/>
    </row>
    <row r="424" spans="3:18" x14ac:dyDescent="0.35">
      <c r="C424" s="5"/>
      <c r="D424" s="5"/>
      <c r="E424" s="5"/>
      <c r="F424" s="7"/>
      <c r="G424" s="5"/>
      <c r="I424" s="6"/>
      <c r="J424" s="5"/>
      <c r="L424" s="5"/>
      <c r="M424" s="7"/>
      <c r="N424" s="5"/>
      <c r="O424" s="5"/>
      <c r="P424" s="5"/>
      <c r="Q424" s="5"/>
      <c r="R424" s="5"/>
    </row>
    <row r="425" spans="3:18" x14ac:dyDescent="0.35">
      <c r="C425" s="5"/>
      <c r="D425" s="5"/>
      <c r="E425" s="5"/>
      <c r="F425" s="7"/>
      <c r="G425" s="5"/>
      <c r="I425" s="6"/>
      <c r="J425" s="5"/>
      <c r="L425" s="5"/>
      <c r="M425" s="7"/>
      <c r="N425" s="5"/>
      <c r="O425" s="5"/>
      <c r="P425" s="5"/>
      <c r="Q425" s="5"/>
      <c r="R425" s="5"/>
    </row>
    <row r="426" spans="3:18" x14ac:dyDescent="0.35">
      <c r="C426" s="5"/>
      <c r="D426" s="5"/>
      <c r="E426" s="5"/>
      <c r="F426" s="7"/>
      <c r="G426" s="5"/>
      <c r="I426" s="6"/>
      <c r="J426" s="5"/>
      <c r="L426" s="5"/>
      <c r="M426" s="7"/>
      <c r="N426" s="5"/>
      <c r="O426" s="5"/>
      <c r="P426" s="5"/>
      <c r="Q426" s="5"/>
      <c r="R426" s="5"/>
    </row>
    <row r="427" spans="3:18" x14ac:dyDescent="0.35">
      <c r="C427" s="5"/>
      <c r="D427" s="5"/>
      <c r="E427" s="5"/>
      <c r="F427" s="7"/>
      <c r="G427" s="5"/>
      <c r="I427" s="6"/>
      <c r="J427" s="5"/>
      <c r="L427" s="5"/>
      <c r="M427" s="7"/>
      <c r="N427" s="5"/>
      <c r="O427" s="5"/>
      <c r="P427" s="5"/>
      <c r="Q427" s="5"/>
      <c r="R427" s="5"/>
    </row>
    <row r="428" spans="3:18" x14ac:dyDescent="0.35">
      <c r="C428" s="5"/>
      <c r="D428" s="5"/>
      <c r="E428" s="5"/>
      <c r="F428" s="7"/>
      <c r="G428" s="5"/>
      <c r="I428" s="6"/>
      <c r="J428" s="5"/>
      <c r="L428" s="5"/>
      <c r="M428" s="7"/>
      <c r="N428" s="5"/>
      <c r="O428" s="5"/>
      <c r="P428" s="5"/>
      <c r="Q428" s="5"/>
      <c r="R428" s="5"/>
    </row>
    <row r="429" spans="3:18" x14ac:dyDescent="0.35">
      <c r="C429" s="5"/>
      <c r="D429" s="5"/>
      <c r="E429" s="5"/>
      <c r="F429" s="7"/>
      <c r="G429" s="5"/>
      <c r="I429" s="6"/>
      <c r="J429" s="5"/>
      <c r="L429" s="5"/>
      <c r="M429" s="7"/>
      <c r="N429" s="5"/>
      <c r="O429" s="5"/>
      <c r="P429" s="5"/>
      <c r="Q429" s="5"/>
      <c r="R429" s="5"/>
    </row>
    <row r="430" spans="3:18" x14ac:dyDescent="0.35">
      <c r="C430" s="5"/>
      <c r="D430" s="5"/>
      <c r="E430" s="5"/>
      <c r="F430" s="7"/>
      <c r="G430" s="5"/>
      <c r="I430" s="6"/>
      <c r="J430" s="5"/>
      <c r="L430" s="5"/>
      <c r="M430" s="7"/>
      <c r="N430" s="5"/>
      <c r="O430" s="5"/>
      <c r="P430" s="5"/>
      <c r="Q430" s="5"/>
      <c r="R430" s="5"/>
    </row>
    <row r="431" spans="3:18" x14ac:dyDescent="0.35">
      <c r="C431" s="5"/>
      <c r="D431" s="5"/>
      <c r="E431" s="5"/>
      <c r="F431" s="7"/>
      <c r="G431" s="5"/>
      <c r="I431" s="6"/>
      <c r="J431" s="5"/>
      <c r="L431" s="5"/>
      <c r="M431" s="7"/>
      <c r="N431" s="5"/>
      <c r="O431" s="5"/>
      <c r="P431" s="5"/>
      <c r="Q431" s="5"/>
      <c r="R431" s="5"/>
    </row>
    <row r="432" spans="3:18" x14ac:dyDescent="0.35">
      <c r="C432" s="5"/>
      <c r="D432" s="5"/>
      <c r="E432" s="5"/>
      <c r="F432" s="7"/>
      <c r="G432" s="5"/>
      <c r="I432" s="6"/>
      <c r="J432" s="5"/>
      <c r="L432" s="5"/>
      <c r="M432" s="7"/>
      <c r="N432" s="5"/>
      <c r="O432" s="5"/>
      <c r="P432" s="5"/>
      <c r="Q432" s="5"/>
      <c r="R432" s="5"/>
    </row>
    <row r="433" spans="3:18" x14ac:dyDescent="0.35">
      <c r="C433" s="5"/>
      <c r="D433" s="5"/>
      <c r="E433" s="5"/>
      <c r="F433" s="7"/>
      <c r="G433" s="5"/>
      <c r="I433" s="6"/>
      <c r="J433" s="5"/>
      <c r="L433" s="5"/>
      <c r="M433" s="7"/>
      <c r="N433" s="5"/>
      <c r="O433" s="5"/>
      <c r="P433" s="5"/>
      <c r="Q433" s="5"/>
      <c r="R433" s="5"/>
    </row>
    <row r="434" spans="3:18" x14ac:dyDescent="0.35">
      <c r="C434" s="5"/>
      <c r="D434" s="5"/>
      <c r="E434" s="5"/>
      <c r="F434" s="7"/>
      <c r="G434" s="5"/>
      <c r="I434" s="6"/>
      <c r="J434" s="5"/>
      <c r="L434" s="5"/>
      <c r="M434" s="7"/>
      <c r="N434" s="5"/>
      <c r="O434" s="5"/>
      <c r="P434" s="5"/>
      <c r="Q434" s="5"/>
      <c r="R434" s="5"/>
    </row>
    <row r="435" spans="3:18" x14ac:dyDescent="0.35">
      <c r="C435" s="5"/>
      <c r="D435" s="5"/>
      <c r="E435" s="5"/>
      <c r="F435" s="7"/>
      <c r="G435" s="5"/>
      <c r="I435" s="6"/>
      <c r="J435" s="5"/>
      <c r="L435" s="5"/>
      <c r="M435" s="7"/>
      <c r="N435" s="5"/>
      <c r="O435" s="5"/>
      <c r="P435" s="5"/>
      <c r="Q435" s="5"/>
      <c r="R435" s="5"/>
    </row>
    <row r="436" spans="3:18" x14ac:dyDescent="0.35">
      <c r="C436" s="5"/>
      <c r="D436" s="5"/>
      <c r="E436" s="5"/>
      <c r="F436" s="7"/>
      <c r="G436" s="5"/>
      <c r="I436" s="6"/>
      <c r="J436" s="5"/>
      <c r="L436" s="5"/>
      <c r="M436" s="7"/>
      <c r="N436" s="5"/>
      <c r="O436" s="5"/>
      <c r="P436" s="5"/>
      <c r="Q436" s="5"/>
      <c r="R436" s="5"/>
    </row>
    <row r="437" spans="3:18" x14ac:dyDescent="0.35">
      <c r="C437" s="5"/>
      <c r="D437" s="5"/>
      <c r="E437" s="5"/>
      <c r="F437" s="7"/>
      <c r="G437" s="5"/>
      <c r="I437" s="6"/>
      <c r="J437" s="5"/>
      <c r="L437" s="5"/>
      <c r="M437" s="7"/>
      <c r="N437" s="5"/>
      <c r="O437" s="5"/>
      <c r="P437" s="5"/>
      <c r="Q437" s="5"/>
      <c r="R437" s="5"/>
    </row>
    <row r="438" spans="3:18" x14ac:dyDescent="0.35">
      <c r="C438" s="5"/>
      <c r="D438" s="5"/>
      <c r="E438" s="5"/>
      <c r="F438" s="7"/>
      <c r="G438" s="5"/>
      <c r="I438" s="6"/>
      <c r="J438" s="5"/>
      <c r="L438" s="5"/>
      <c r="M438" s="7"/>
      <c r="N438" s="5"/>
      <c r="O438" s="5"/>
      <c r="P438" s="5"/>
      <c r="Q438" s="5"/>
      <c r="R438" s="5"/>
    </row>
    <row r="439" spans="3:18" x14ac:dyDescent="0.35">
      <c r="C439" s="5"/>
      <c r="D439" s="5"/>
      <c r="E439" s="5"/>
      <c r="F439" s="7"/>
      <c r="G439" s="5"/>
      <c r="I439" s="6"/>
      <c r="J439" s="5"/>
      <c r="L439" s="5"/>
      <c r="M439" s="7"/>
      <c r="N439" s="5"/>
      <c r="O439" s="5"/>
      <c r="P439" s="5"/>
      <c r="Q439" s="5"/>
      <c r="R439" s="5"/>
    </row>
    <row r="440" spans="3:18" x14ac:dyDescent="0.35">
      <c r="C440" s="5"/>
      <c r="D440" s="5"/>
      <c r="E440" s="5"/>
      <c r="F440" s="7"/>
      <c r="G440" s="5"/>
      <c r="I440" s="6"/>
      <c r="J440" s="5"/>
      <c r="L440" s="5"/>
      <c r="M440" s="7"/>
      <c r="N440" s="5"/>
      <c r="O440" s="5"/>
      <c r="P440" s="5"/>
      <c r="Q440" s="5"/>
      <c r="R440" s="5"/>
    </row>
    <row r="441" spans="3:18" x14ac:dyDescent="0.35">
      <c r="C441" s="5"/>
      <c r="D441" s="5"/>
      <c r="E441" s="5"/>
      <c r="F441" s="7"/>
      <c r="G441" s="5"/>
      <c r="I441" s="6"/>
      <c r="J441" s="5"/>
      <c r="L441" s="5"/>
      <c r="M441" s="7"/>
      <c r="N441" s="5"/>
      <c r="O441" s="5"/>
      <c r="P441" s="5"/>
      <c r="Q441" s="5"/>
      <c r="R441" s="5"/>
    </row>
    <row r="442" spans="3:18" x14ac:dyDescent="0.35">
      <c r="C442" s="5"/>
      <c r="D442" s="5"/>
      <c r="E442" s="5"/>
      <c r="F442" s="7"/>
      <c r="G442" s="5"/>
      <c r="I442" s="6"/>
      <c r="J442" s="5"/>
      <c r="L442" s="5"/>
      <c r="M442" s="7"/>
      <c r="N442" s="5"/>
      <c r="O442" s="5"/>
      <c r="P442" s="5"/>
      <c r="Q442" s="5"/>
      <c r="R442" s="5"/>
    </row>
    <row r="443" spans="3:18" x14ac:dyDescent="0.35">
      <c r="C443" s="5"/>
      <c r="D443" s="5"/>
      <c r="E443" s="5"/>
      <c r="F443" s="7"/>
      <c r="G443" s="5"/>
      <c r="I443" s="6"/>
      <c r="J443" s="5"/>
      <c r="L443" s="5"/>
      <c r="M443" s="7"/>
      <c r="N443" s="5"/>
      <c r="O443" s="5"/>
      <c r="P443" s="5"/>
      <c r="Q443" s="5"/>
      <c r="R443" s="5"/>
    </row>
    <row r="444" spans="3:18" x14ac:dyDescent="0.35">
      <c r="C444" s="5"/>
      <c r="D444" s="5"/>
      <c r="E444" s="5"/>
      <c r="F444" s="7"/>
      <c r="G444" s="5"/>
      <c r="I444" s="6"/>
      <c r="J444" s="5"/>
      <c r="L444" s="5"/>
      <c r="M444" s="7"/>
      <c r="N444" s="5"/>
      <c r="O444" s="5"/>
      <c r="P444" s="5"/>
      <c r="Q444" s="5"/>
      <c r="R444" s="5"/>
    </row>
    <row r="445" spans="3:18" x14ac:dyDescent="0.35">
      <c r="C445" s="5"/>
      <c r="D445" s="5"/>
      <c r="E445" s="5"/>
      <c r="F445" s="7"/>
      <c r="G445" s="5"/>
      <c r="I445" s="6"/>
      <c r="J445" s="5"/>
      <c r="L445" s="5"/>
      <c r="M445" s="7"/>
      <c r="N445" s="5"/>
      <c r="O445" s="5"/>
      <c r="P445" s="5"/>
      <c r="Q445" s="5"/>
      <c r="R445" s="5"/>
    </row>
    <row r="446" spans="3:18" x14ac:dyDescent="0.35">
      <c r="C446" s="5"/>
      <c r="D446" s="5"/>
      <c r="E446" s="5"/>
      <c r="F446" s="7"/>
      <c r="G446" s="5"/>
      <c r="I446" s="6"/>
      <c r="J446" s="5"/>
      <c r="L446" s="5"/>
      <c r="M446" s="7"/>
      <c r="N446" s="5"/>
      <c r="O446" s="5"/>
      <c r="P446" s="5"/>
      <c r="Q446" s="5"/>
      <c r="R446" s="5"/>
    </row>
    <row r="447" spans="3:18" x14ac:dyDescent="0.35">
      <c r="C447" s="5"/>
      <c r="D447" s="5"/>
      <c r="E447" s="5"/>
      <c r="F447" s="7"/>
      <c r="G447" s="5"/>
      <c r="I447" s="6"/>
      <c r="J447" s="5"/>
      <c r="L447" s="5"/>
      <c r="M447" s="7"/>
      <c r="N447" s="5"/>
      <c r="O447" s="5"/>
      <c r="P447" s="5"/>
      <c r="Q447" s="5"/>
      <c r="R447" s="5"/>
    </row>
    <row r="448" spans="3:18" x14ac:dyDescent="0.35">
      <c r="C448" s="5"/>
      <c r="D448" s="5"/>
      <c r="E448" s="5"/>
      <c r="F448" s="7"/>
      <c r="G448" s="5"/>
      <c r="I448" s="6"/>
      <c r="J448" s="5"/>
      <c r="L448" s="5"/>
      <c r="M448" s="7"/>
      <c r="N448" s="5"/>
      <c r="O448" s="5"/>
      <c r="P448" s="5"/>
      <c r="Q448" s="5"/>
      <c r="R448" s="5"/>
    </row>
    <row r="449" spans="3:18" x14ac:dyDescent="0.35">
      <c r="C449" s="5"/>
      <c r="D449" s="5"/>
      <c r="E449" s="5"/>
      <c r="F449" s="7"/>
      <c r="G449" s="5"/>
      <c r="I449" s="6"/>
      <c r="J449" s="5"/>
      <c r="L449" s="5"/>
      <c r="M449" s="7"/>
      <c r="N449" s="5"/>
      <c r="O449" s="5"/>
      <c r="P449" s="5"/>
      <c r="Q449" s="5"/>
      <c r="R449" s="5"/>
    </row>
    <row r="450" spans="3:18" x14ac:dyDescent="0.35">
      <c r="C450" s="5"/>
      <c r="D450" s="5"/>
      <c r="E450" s="5"/>
      <c r="F450" s="7"/>
      <c r="G450" s="5"/>
      <c r="I450" s="6"/>
      <c r="J450" s="5"/>
      <c r="L450" s="5"/>
      <c r="M450" s="7"/>
      <c r="N450" s="5"/>
      <c r="O450" s="5"/>
      <c r="P450" s="5"/>
      <c r="Q450" s="5"/>
      <c r="R450" s="5"/>
    </row>
    <row r="451" spans="3:18" x14ac:dyDescent="0.35">
      <c r="C451" s="5"/>
      <c r="D451" s="5"/>
      <c r="E451" s="5"/>
      <c r="F451" s="7"/>
      <c r="G451" s="5"/>
      <c r="I451" s="6"/>
      <c r="J451" s="5"/>
      <c r="L451" s="5"/>
      <c r="M451" s="7"/>
      <c r="N451" s="5"/>
      <c r="O451" s="5"/>
      <c r="P451" s="5"/>
      <c r="Q451" s="5"/>
      <c r="R451" s="5"/>
    </row>
    <row r="452" spans="3:18" x14ac:dyDescent="0.35">
      <c r="C452" s="5"/>
      <c r="D452" s="5"/>
      <c r="E452" s="5"/>
      <c r="F452" s="7"/>
      <c r="G452" s="5"/>
      <c r="I452" s="6"/>
      <c r="J452" s="5"/>
      <c r="L452" s="5"/>
      <c r="M452" s="7"/>
      <c r="N452" s="5"/>
      <c r="O452" s="5"/>
      <c r="P452" s="5"/>
      <c r="Q452" s="5"/>
      <c r="R452" s="5"/>
    </row>
    <row r="453" spans="3:18" x14ac:dyDescent="0.35">
      <c r="C453" s="5"/>
      <c r="D453" s="5"/>
      <c r="E453" s="5"/>
      <c r="F453" s="7"/>
      <c r="G453" s="5"/>
      <c r="I453" s="6"/>
      <c r="J453" s="5"/>
      <c r="L453" s="5"/>
      <c r="M453" s="7"/>
      <c r="N453" s="5"/>
      <c r="O453" s="5"/>
      <c r="P453" s="5"/>
      <c r="Q453" s="5"/>
      <c r="R453" s="5"/>
    </row>
    <row r="454" spans="3:18" x14ac:dyDescent="0.35">
      <c r="C454" s="5"/>
      <c r="D454" s="5"/>
      <c r="E454" s="5"/>
      <c r="F454" s="7"/>
      <c r="G454" s="5"/>
      <c r="I454" s="6"/>
      <c r="J454" s="5"/>
      <c r="L454" s="5"/>
      <c r="M454" s="7"/>
      <c r="N454" s="5"/>
      <c r="O454" s="5"/>
      <c r="P454" s="5"/>
      <c r="Q454" s="5"/>
      <c r="R454" s="5"/>
    </row>
    <row r="455" spans="3:18" x14ac:dyDescent="0.35">
      <c r="C455" s="5"/>
      <c r="D455" s="5"/>
      <c r="E455" s="5"/>
      <c r="F455" s="7"/>
      <c r="G455" s="5"/>
      <c r="I455" s="6"/>
      <c r="J455" s="5"/>
      <c r="L455" s="5"/>
      <c r="M455" s="7"/>
      <c r="N455" s="5"/>
      <c r="O455" s="5"/>
      <c r="P455" s="5"/>
      <c r="Q455" s="5"/>
      <c r="R455" s="5"/>
    </row>
    <row r="456" spans="3:18" x14ac:dyDescent="0.35">
      <c r="C456" s="5"/>
      <c r="D456" s="5"/>
      <c r="E456" s="5"/>
      <c r="F456" s="7"/>
      <c r="G456" s="5"/>
      <c r="I456" s="6"/>
      <c r="J456" s="5"/>
      <c r="L456" s="5"/>
      <c r="M456" s="7"/>
      <c r="N456" s="5"/>
      <c r="O456" s="5"/>
      <c r="P456" s="5"/>
      <c r="Q456" s="5"/>
      <c r="R456" s="5"/>
    </row>
    <row r="457" spans="3:18" x14ac:dyDescent="0.35">
      <c r="C457" s="5"/>
      <c r="D457" s="5"/>
      <c r="E457" s="5"/>
      <c r="F457" s="7"/>
      <c r="G457" s="5"/>
      <c r="I457" s="6"/>
      <c r="J457" s="5"/>
      <c r="L457" s="5"/>
      <c r="M457" s="7"/>
      <c r="N457" s="5"/>
      <c r="O457" s="5"/>
      <c r="P457" s="5"/>
      <c r="Q457" s="5"/>
      <c r="R457" s="5"/>
    </row>
    <row r="458" spans="3:18" x14ac:dyDescent="0.35">
      <c r="C458" s="5"/>
      <c r="D458" s="5"/>
      <c r="E458" s="5"/>
      <c r="F458" s="7"/>
      <c r="G458" s="5"/>
      <c r="I458" s="6"/>
      <c r="J458" s="5"/>
      <c r="L458" s="5"/>
      <c r="M458" s="7"/>
      <c r="N458" s="5"/>
      <c r="O458" s="5"/>
      <c r="P458" s="5"/>
      <c r="Q458" s="5"/>
      <c r="R458" s="5"/>
    </row>
    <row r="459" spans="3:18" x14ac:dyDescent="0.35">
      <c r="C459" s="5"/>
      <c r="D459" s="5"/>
      <c r="E459" s="5"/>
      <c r="F459" s="7"/>
      <c r="G459" s="5"/>
      <c r="I459" s="6"/>
      <c r="J459" s="5"/>
      <c r="L459" s="5"/>
      <c r="M459" s="7"/>
      <c r="N459" s="5"/>
      <c r="O459" s="5"/>
      <c r="P459" s="5"/>
      <c r="Q459" s="5"/>
      <c r="R459" s="5"/>
    </row>
    <row r="460" spans="3:18" x14ac:dyDescent="0.35">
      <c r="C460" s="5"/>
      <c r="D460" s="5"/>
      <c r="E460" s="5"/>
      <c r="F460" s="7"/>
      <c r="G460" s="5"/>
      <c r="I460" s="6"/>
      <c r="J460" s="5"/>
      <c r="L460" s="5"/>
      <c r="M460" s="7"/>
      <c r="N460" s="5"/>
      <c r="O460" s="5"/>
      <c r="P460" s="5"/>
      <c r="Q460" s="5"/>
      <c r="R460" s="5"/>
    </row>
    <row r="461" spans="3:18" x14ac:dyDescent="0.35">
      <c r="C461" s="5"/>
      <c r="D461" s="5"/>
      <c r="E461" s="5"/>
      <c r="F461" s="7"/>
      <c r="G461" s="5"/>
      <c r="I461" s="6"/>
      <c r="J461" s="5"/>
      <c r="L461" s="5"/>
      <c r="M461" s="7"/>
      <c r="N461" s="5"/>
      <c r="O461" s="5"/>
      <c r="P461" s="5"/>
      <c r="Q461" s="5"/>
      <c r="R461" s="5"/>
    </row>
    <row r="462" spans="3:18" x14ac:dyDescent="0.35">
      <c r="C462" s="5"/>
      <c r="D462" s="5"/>
      <c r="E462" s="5"/>
      <c r="F462" s="7"/>
      <c r="G462" s="5"/>
      <c r="I462" s="6"/>
      <c r="J462" s="5"/>
      <c r="L462" s="5"/>
      <c r="M462" s="7"/>
      <c r="N462" s="5"/>
      <c r="O462" s="5"/>
      <c r="P462" s="5"/>
      <c r="Q462" s="5"/>
      <c r="R462" s="5"/>
    </row>
    <row r="463" spans="3:18" x14ac:dyDescent="0.35">
      <c r="C463" s="5"/>
      <c r="D463" s="5"/>
      <c r="E463" s="5"/>
      <c r="F463" s="7"/>
      <c r="G463" s="5"/>
      <c r="I463" s="6"/>
      <c r="J463" s="5"/>
      <c r="L463" s="5"/>
      <c r="M463" s="7"/>
      <c r="N463" s="5"/>
      <c r="O463" s="5"/>
      <c r="P463" s="5"/>
      <c r="Q463" s="5"/>
      <c r="R463" s="5"/>
    </row>
    <row r="464" spans="3:18" x14ac:dyDescent="0.35">
      <c r="C464" s="5"/>
      <c r="D464" s="5"/>
      <c r="E464" s="5"/>
      <c r="F464" s="7"/>
      <c r="G464" s="5"/>
      <c r="I464" s="6"/>
      <c r="J464" s="5"/>
      <c r="L464" s="5"/>
      <c r="M464" s="7"/>
      <c r="N464" s="5"/>
      <c r="O464" s="5"/>
      <c r="P464" s="5"/>
      <c r="Q464" s="5"/>
      <c r="R464" s="5"/>
    </row>
    <row r="465" spans="3:18" x14ac:dyDescent="0.35">
      <c r="C465" s="5"/>
      <c r="D465" s="5"/>
      <c r="E465" s="5"/>
      <c r="F465" s="7"/>
      <c r="G465" s="5"/>
      <c r="I465" s="6"/>
      <c r="J465" s="5"/>
      <c r="L465" s="5"/>
      <c r="M465" s="7"/>
      <c r="N465" s="5"/>
      <c r="O465" s="5"/>
      <c r="P465" s="5"/>
      <c r="Q465" s="5"/>
      <c r="R465" s="5"/>
    </row>
    <row r="466" spans="3:18" x14ac:dyDescent="0.35">
      <c r="C466" s="5"/>
      <c r="D466" s="5"/>
      <c r="E466" s="5"/>
      <c r="F466" s="7"/>
      <c r="G466" s="5"/>
      <c r="I466" s="6"/>
      <c r="J466" s="5"/>
      <c r="L466" s="5"/>
      <c r="M466" s="7"/>
      <c r="N466" s="5"/>
      <c r="O466" s="5"/>
      <c r="P466" s="5"/>
      <c r="Q466" s="5"/>
      <c r="R466" s="5"/>
    </row>
    <row r="467" spans="3:18" x14ac:dyDescent="0.35">
      <c r="C467" s="5"/>
      <c r="D467" s="5"/>
      <c r="E467" s="5"/>
      <c r="F467" s="7"/>
      <c r="G467" s="5"/>
      <c r="I467" s="6"/>
      <c r="J467" s="5"/>
      <c r="L467" s="5"/>
      <c r="M467" s="7"/>
      <c r="N467" s="5"/>
      <c r="O467" s="5"/>
      <c r="P467" s="5"/>
      <c r="Q467" s="5"/>
      <c r="R467" s="5"/>
    </row>
    <row r="468" spans="3:18" x14ac:dyDescent="0.35">
      <c r="C468" s="5"/>
      <c r="D468" s="5"/>
      <c r="E468" s="5"/>
      <c r="F468" s="7"/>
      <c r="G468" s="5"/>
      <c r="I468" s="6"/>
      <c r="J468" s="5"/>
      <c r="L468" s="5"/>
      <c r="M468" s="7"/>
      <c r="N468" s="5"/>
      <c r="O468" s="5"/>
      <c r="P468" s="5"/>
      <c r="Q468" s="5"/>
      <c r="R468" s="5"/>
    </row>
    <row r="469" spans="3:18" x14ac:dyDescent="0.35">
      <c r="C469" s="5"/>
      <c r="D469" s="5"/>
      <c r="E469" s="5"/>
      <c r="F469" s="7"/>
      <c r="G469" s="5"/>
      <c r="I469" s="6"/>
      <c r="J469" s="5"/>
      <c r="L469" s="5"/>
      <c r="M469" s="7"/>
      <c r="N469" s="5"/>
      <c r="O469" s="5"/>
      <c r="P469" s="5"/>
      <c r="Q469" s="5"/>
      <c r="R469" s="5"/>
    </row>
    <row r="470" spans="3:18" x14ac:dyDescent="0.35">
      <c r="C470" s="5"/>
      <c r="D470" s="5"/>
      <c r="E470" s="5"/>
      <c r="F470" s="7"/>
      <c r="G470" s="5"/>
      <c r="I470" s="6"/>
      <c r="J470" s="5"/>
      <c r="L470" s="5"/>
      <c r="M470" s="7"/>
      <c r="N470" s="5"/>
      <c r="O470" s="5"/>
      <c r="P470" s="5"/>
      <c r="Q470" s="5"/>
      <c r="R470" s="5"/>
    </row>
    <row r="471" spans="3:18" x14ac:dyDescent="0.35">
      <c r="C471" s="5"/>
      <c r="D471" s="5"/>
      <c r="E471" s="5"/>
      <c r="F471" s="7"/>
      <c r="G471" s="5"/>
      <c r="I471" s="6"/>
      <c r="J471" s="5"/>
      <c r="L471" s="5"/>
      <c r="M471" s="7"/>
      <c r="N471" s="5"/>
      <c r="O471" s="5"/>
      <c r="P471" s="5"/>
      <c r="Q471" s="5"/>
      <c r="R471" s="5"/>
    </row>
    <row r="472" spans="3:18" x14ac:dyDescent="0.35">
      <c r="C472" s="5"/>
      <c r="D472" s="5"/>
      <c r="E472" s="5"/>
      <c r="F472" s="7"/>
      <c r="G472" s="5"/>
      <c r="I472" s="6"/>
      <c r="J472" s="5"/>
      <c r="L472" s="5"/>
      <c r="M472" s="7"/>
      <c r="N472" s="5"/>
      <c r="O472" s="5"/>
      <c r="P472" s="5"/>
      <c r="Q472" s="5"/>
      <c r="R472" s="5"/>
    </row>
    <row r="473" spans="3:18" x14ac:dyDescent="0.35">
      <c r="C473" s="5"/>
      <c r="D473" s="5"/>
      <c r="E473" s="5"/>
      <c r="F473" s="7"/>
      <c r="G473" s="5"/>
      <c r="I473" s="6"/>
      <c r="J473" s="5"/>
      <c r="L473" s="5"/>
      <c r="M473" s="7"/>
      <c r="N473" s="5"/>
      <c r="O473" s="5"/>
      <c r="P473" s="5"/>
      <c r="Q473" s="5"/>
      <c r="R473" s="5"/>
    </row>
    <row r="474" spans="3:18" x14ac:dyDescent="0.35">
      <c r="C474" s="5"/>
      <c r="D474" s="5"/>
      <c r="E474" s="5"/>
      <c r="F474" s="7"/>
      <c r="G474" s="5"/>
      <c r="I474" s="6"/>
      <c r="J474" s="5"/>
      <c r="L474" s="5"/>
      <c r="M474" s="7"/>
      <c r="N474" s="5"/>
      <c r="O474" s="5"/>
      <c r="P474" s="5"/>
      <c r="Q474" s="5"/>
      <c r="R474" s="5"/>
    </row>
    <row r="475" spans="3:18" x14ac:dyDescent="0.35">
      <c r="C475" s="5"/>
      <c r="D475" s="5"/>
      <c r="E475" s="5"/>
      <c r="F475" s="7"/>
      <c r="G475" s="5"/>
      <c r="I475" s="6"/>
      <c r="J475" s="5"/>
      <c r="L475" s="5"/>
      <c r="M475" s="7"/>
      <c r="N475" s="5"/>
      <c r="O475" s="5"/>
      <c r="P475" s="5"/>
      <c r="Q475" s="5"/>
      <c r="R475" s="5"/>
    </row>
    <row r="476" spans="3:18" x14ac:dyDescent="0.35">
      <c r="C476" s="5"/>
      <c r="D476" s="5"/>
      <c r="E476" s="5"/>
      <c r="F476" s="7"/>
      <c r="G476" s="5"/>
      <c r="I476" s="6"/>
      <c r="J476" s="5"/>
      <c r="L476" s="5"/>
      <c r="M476" s="7"/>
      <c r="N476" s="5"/>
      <c r="O476" s="5"/>
      <c r="P476" s="5"/>
      <c r="Q476" s="5"/>
      <c r="R476" s="5"/>
    </row>
    <row r="477" spans="3:18" x14ac:dyDescent="0.35">
      <c r="C477" s="5"/>
      <c r="D477" s="5"/>
      <c r="E477" s="5"/>
      <c r="F477" s="7"/>
      <c r="G477" s="5"/>
      <c r="I477" s="6"/>
      <c r="J477" s="5"/>
      <c r="L477" s="5"/>
      <c r="M477" s="7"/>
      <c r="N477" s="5"/>
      <c r="O477" s="5"/>
      <c r="P477" s="5"/>
      <c r="Q477" s="5"/>
      <c r="R477" s="5"/>
    </row>
    <row r="478" spans="3:18" x14ac:dyDescent="0.35">
      <c r="C478" s="5"/>
      <c r="D478" s="5"/>
      <c r="E478" s="5"/>
      <c r="F478" s="7"/>
      <c r="G478" s="5"/>
      <c r="I478" s="6"/>
      <c r="J478" s="5"/>
      <c r="L478" s="5"/>
      <c r="M478" s="7"/>
      <c r="N478" s="5"/>
      <c r="O478" s="5"/>
      <c r="P478" s="5"/>
      <c r="Q478" s="5"/>
      <c r="R478" s="5"/>
    </row>
    <row r="479" spans="3:18" x14ac:dyDescent="0.35">
      <c r="C479" s="5"/>
      <c r="D479" s="5"/>
      <c r="E479" s="5"/>
      <c r="F479" s="7"/>
      <c r="G479" s="5"/>
      <c r="I479" s="6"/>
      <c r="J479" s="5"/>
      <c r="L479" s="5"/>
      <c r="M479" s="7"/>
      <c r="N479" s="5"/>
      <c r="O479" s="5"/>
      <c r="P479" s="5"/>
      <c r="Q479" s="5"/>
      <c r="R479" s="5"/>
    </row>
    <row r="480" spans="3:18" x14ac:dyDescent="0.35">
      <c r="C480" s="5"/>
      <c r="D480" s="5"/>
      <c r="E480" s="5"/>
      <c r="F480" s="7"/>
      <c r="G480" s="5"/>
      <c r="I480" s="6"/>
      <c r="J480" s="5"/>
      <c r="L480" s="5"/>
      <c r="M480" s="7"/>
      <c r="N480" s="5"/>
      <c r="O480" s="5"/>
      <c r="P480" s="5"/>
      <c r="Q480" s="5"/>
      <c r="R480" s="5"/>
    </row>
    <row r="481" spans="3:18" x14ac:dyDescent="0.35">
      <c r="C481" s="5"/>
      <c r="D481" s="5"/>
      <c r="E481" s="5"/>
      <c r="F481" s="7"/>
      <c r="G481" s="5"/>
      <c r="I481" s="6"/>
      <c r="J481" s="5"/>
      <c r="L481" s="5"/>
      <c r="M481" s="7"/>
      <c r="N481" s="5"/>
      <c r="O481" s="5"/>
      <c r="P481" s="5"/>
      <c r="Q481" s="5"/>
      <c r="R481" s="5"/>
    </row>
    <row r="482" spans="3:18" x14ac:dyDescent="0.35">
      <c r="C482" s="5"/>
      <c r="D482" s="5"/>
      <c r="E482" s="5"/>
      <c r="F482" s="7"/>
      <c r="G482" s="5"/>
      <c r="I482" s="6"/>
      <c r="J482" s="5"/>
      <c r="L482" s="5"/>
      <c r="M482" s="7"/>
      <c r="N482" s="5"/>
      <c r="O482" s="5"/>
      <c r="P482" s="5"/>
      <c r="Q482" s="5"/>
      <c r="R482" s="5"/>
    </row>
    <row r="483" spans="3:18" x14ac:dyDescent="0.35">
      <c r="C483" s="5"/>
      <c r="D483" s="5"/>
      <c r="E483" s="5"/>
      <c r="F483" s="7"/>
      <c r="G483" s="5"/>
      <c r="I483" s="6"/>
      <c r="J483" s="5"/>
      <c r="L483" s="5"/>
      <c r="M483" s="7"/>
      <c r="N483" s="5"/>
      <c r="O483" s="5"/>
      <c r="P483" s="5"/>
      <c r="Q483" s="5"/>
      <c r="R483" s="5"/>
    </row>
    <row r="484" spans="3:18" x14ac:dyDescent="0.35">
      <c r="C484" s="5"/>
      <c r="D484" s="5"/>
      <c r="E484" s="5"/>
      <c r="F484" s="7"/>
      <c r="G484" s="5"/>
      <c r="I484" s="6"/>
      <c r="J484" s="5"/>
      <c r="L484" s="5"/>
      <c r="M484" s="7"/>
      <c r="N484" s="5"/>
      <c r="O484" s="5"/>
      <c r="P484" s="5"/>
      <c r="Q484" s="5"/>
      <c r="R484" s="5"/>
    </row>
    <row r="485" spans="3:18" x14ac:dyDescent="0.35">
      <c r="C485" s="5"/>
      <c r="D485" s="5"/>
      <c r="E485" s="5"/>
      <c r="F485" s="7"/>
      <c r="G485" s="5"/>
      <c r="I485" s="6"/>
      <c r="J485" s="5"/>
      <c r="L485" s="5"/>
      <c r="M485" s="7"/>
      <c r="N485" s="5"/>
      <c r="O485" s="5"/>
      <c r="P485" s="5"/>
      <c r="Q485" s="5"/>
      <c r="R485" s="5"/>
    </row>
    <row r="486" spans="3:18" x14ac:dyDescent="0.35">
      <c r="C486" s="5"/>
      <c r="D486" s="5"/>
      <c r="E486" s="5"/>
      <c r="F486" s="7"/>
      <c r="G486" s="5"/>
      <c r="I486" s="6"/>
      <c r="J486" s="5"/>
      <c r="L486" s="5"/>
      <c r="M486" s="7"/>
      <c r="N486" s="5"/>
      <c r="O486" s="5"/>
      <c r="P486" s="5"/>
      <c r="Q486" s="5"/>
      <c r="R486" s="5"/>
    </row>
    <row r="487" spans="3:18" x14ac:dyDescent="0.35">
      <c r="C487" s="5"/>
      <c r="D487" s="5"/>
      <c r="E487" s="5"/>
      <c r="F487" s="7"/>
      <c r="G487" s="5"/>
      <c r="I487" s="6"/>
      <c r="J487" s="5"/>
      <c r="L487" s="5"/>
      <c r="M487" s="7"/>
      <c r="N487" s="5"/>
      <c r="O487" s="5"/>
      <c r="P487" s="5"/>
      <c r="Q487" s="5"/>
      <c r="R487" s="5"/>
    </row>
    <row r="488" spans="3:18" x14ac:dyDescent="0.35">
      <c r="C488" s="5"/>
      <c r="D488" s="5"/>
      <c r="E488" s="5"/>
      <c r="F488" s="7"/>
      <c r="G488" s="5"/>
      <c r="I488" s="6"/>
      <c r="J488" s="5"/>
      <c r="L488" s="5"/>
      <c r="M488" s="7"/>
      <c r="N488" s="5"/>
      <c r="O488" s="5"/>
      <c r="P488" s="5"/>
      <c r="Q488" s="5"/>
      <c r="R488" s="5"/>
    </row>
    <row r="489" spans="3:18" x14ac:dyDescent="0.35">
      <c r="C489" s="5"/>
      <c r="D489" s="5"/>
      <c r="E489" s="5"/>
      <c r="F489" s="7"/>
      <c r="G489" s="5"/>
      <c r="I489" s="6"/>
      <c r="J489" s="5"/>
      <c r="L489" s="5"/>
      <c r="M489" s="7"/>
      <c r="N489" s="5"/>
      <c r="O489" s="5"/>
      <c r="P489" s="5"/>
      <c r="Q489" s="5"/>
      <c r="R489" s="5"/>
    </row>
    <row r="490" spans="3:18" x14ac:dyDescent="0.35">
      <c r="C490" s="5"/>
      <c r="D490" s="5"/>
      <c r="E490" s="5"/>
      <c r="F490" s="7"/>
      <c r="G490" s="5"/>
      <c r="I490" s="6"/>
      <c r="J490" s="5"/>
      <c r="L490" s="5"/>
      <c r="M490" s="7"/>
      <c r="N490" s="5"/>
      <c r="O490" s="5"/>
      <c r="P490" s="5"/>
      <c r="Q490" s="5"/>
      <c r="R490" s="5"/>
    </row>
    <row r="491" spans="3:18" x14ac:dyDescent="0.35">
      <c r="C491" s="5"/>
      <c r="D491" s="5"/>
      <c r="E491" s="5"/>
      <c r="F491" s="7"/>
      <c r="G491" s="5"/>
      <c r="I491" s="6"/>
      <c r="J491" s="5"/>
      <c r="L491" s="5"/>
      <c r="M491" s="7"/>
      <c r="N491" s="5"/>
      <c r="O491" s="5"/>
      <c r="P491" s="5"/>
      <c r="Q491" s="5"/>
      <c r="R491" s="5"/>
    </row>
    <row r="492" spans="3:18" x14ac:dyDescent="0.35">
      <c r="C492" s="5"/>
      <c r="D492" s="5"/>
      <c r="E492" s="5"/>
      <c r="F492" s="7"/>
      <c r="G492" s="5"/>
      <c r="I492" s="6"/>
      <c r="J492" s="5"/>
      <c r="L492" s="5"/>
      <c r="M492" s="7"/>
      <c r="N492" s="5"/>
      <c r="O492" s="5"/>
      <c r="P492" s="5"/>
      <c r="Q492" s="5"/>
      <c r="R492" s="5"/>
    </row>
    <row r="493" spans="3:18" x14ac:dyDescent="0.35">
      <c r="C493" s="5"/>
      <c r="D493" s="5"/>
      <c r="E493" s="5"/>
      <c r="F493" s="7"/>
      <c r="G493" s="5"/>
      <c r="I493" s="6"/>
      <c r="J493" s="5"/>
      <c r="L493" s="5"/>
      <c r="M493" s="7"/>
      <c r="N493" s="5"/>
      <c r="O493" s="5"/>
      <c r="P493" s="5"/>
      <c r="Q493" s="5"/>
      <c r="R493" s="5"/>
    </row>
    <row r="494" spans="3:18" x14ac:dyDescent="0.35">
      <c r="C494" s="5"/>
      <c r="D494" s="5"/>
      <c r="E494" s="5"/>
      <c r="F494" s="7"/>
      <c r="G494" s="5"/>
      <c r="I494" s="6"/>
      <c r="J494" s="5"/>
      <c r="L494" s="5"/>
      <c r="M494" s="7"/>
      <c r="N494" s="5"/>
      <c r="O494" s="5"/>
      <c r="P494" s="5"/>
      <c r="Q494" s="5"/>
      <c r="R494" s="5"/>
    </row>
    <row r="495" spans="3:18" x14ac:dyDescent="0.35">
      <c r="C495" s="5"/>
      <c r="D495" s="5"/>
      <c r="E495" s="5"/>
      <c r="F495" s="7"/>
      <c r="G495" s="5"/>
      <c r="I495" s="6"/>
      <c r="J495" s="5"/>
      <c r="L495" s="5"/>
      <c r="M495" s="7"/>
      <c r="N495" s="5"/>
      <c r="O495" s="5"/>
      <c r="P495" s="5"/>
      <c r="Q495" s="5"/>
      <c r="R495" s="5"/>
    </row>
    <row r="496" spans="3:18" x14ac:dyDescent="0.35">
      <c r="C496" s="5"/>
      <c r="D496" s="5"/>
      <c r="E496" s="5"/>
      <c r="F496" s="7"/>
      <c r="G496" s="5"/>
      <c r="I496" s="6"/>
      <c r="J496" s="5"/>
      <c r="L496" s="5"/>
      <c r="M496" s="7"/>
      <c r="N496" s="5"/>
      <c r="O496" s="5"/>
      <c r="P496" s="5"/>
      <c r="Q496" s="5"/>
      <c r="R496" s="5"/>
    </row>
    <row r="497" spans="3:18" x14ac:dyDescent="0.35">
      <c r="C497" s="5"/>
      <c r="D497" s="5"/>
      <c r="E497" s="5"/>
      <c r="F497" s="7"/>
      <c r="G497" s="5"/>
      <c r="I497" s="6"/>
      <c r="J497" s="5"/>
      <c r="L497" s="5"/>
      <c r="M497" s="7"/>
      <c r="N497" s="5"/>
      <c r="O497" s="5"/>
      <c r="P497" s="5"/>
      <c r="Q497" s="5"/>
      <c r="R497" s="5"/>
    </row>
    <row r="498" spans="3:18" x14ac:dyDescent="0.35">
      <c r="C498" s="5"/>
      <c r="D498" s="5"/>
      <c r="E498" s="5"/>
      <c r="F498" s="7"/>
      <c r="G498" s="5"/>
      <c r="I498" s="6"/>
      <c r="J498" s="5"/>
      <c r="L498" s="5"/>
      <c r="M498" s="7"/>
      <c r="N498" s="5"/>
      <c r="O498" s="5"/>
      <c r="P498" s="5"/>
      <c r="Q498" s="5"/>
      <c r="R498" s="5"/>
    </row>
    <row r="499" spans="3:18" x14ac:dyDescent="0.35">
      <c r="C499" s="5"/>
      <c r="D499" s="5"/>
      <c r="E499" s="5"/>
      <c r="F499" s="7"/>
      <c r="G499" s="5"/>
      <c r="I499" s="6"/>
      <c r="J499" s="5"/>
      <c r="L499" s="5"/>
      <c r="M499" s="7"/>
      <c r="N499" s="5"/>
      <c r="O499" s="5"/>
      <c r="P499" s="5"/>
      <c r="Q499" s="5"/>
      <c r="R499" s="5"/>
    </row>
    <row r="500" spans="3:18" x14ac:dyDescent="0.35">
      <c r="C500" s="5"/>
      <c r="D500" s="5"/>
      <c r="E500" s="5"/>
      <c r="F500" s="7"/>
      <c r="G500" s="5"/>
      <c r="I500" s="6"/>
      <c r="J500" s="5"/>
      <c r="L500" s="5"/>
      <c r="M500" s="7"/>
      <c r="N500" s="5"/>
      <c r="O500" s="5"/>
      <c r="P500" s="5"/>
      <c r="Q500" s="5"/>
      <c r="R500" s="5"/>
    </row>
  </sheetData>
  <autoFilter ref="A2:R500" xr:uid="{556E6A47-2F39-461A-9981-DCE685FB534D}"/>
  <mergeCells count="1">
    <mergeCell ref="A1:R1"/>
  </mergeCells>
  <conditionalFormatting sqref="C3:C500">
    <cfRule type="cellIs" dxfId="13" priority="10" operator="equal">
      <formula>"Feature"</formula>
    </cfRule>
    <cfRule type="cellIs" dxfId="12" priority="11" operator="equal">
      <formula>"US"</formula>
    </cfRule>
  </conditionalFormatting>
  <conditionalFormatting sqref="D3:D500">
    <cfRule type="cellIs" dxfId="11" priority="12" operator="equal">
      <formula>"bloque"</formula>
    </cfRule>
    <cfRule type="cellIs" dxfId="10" priority="13" operator="equal">
      <formula>"lié"</formula>
    </cfRule>
    <cfRule type="cellIs" dxfId="9" priority="14" operator="equal">
      <formula>"implémenté par"</formula>
    </cfRule>
  </conditionalFormatting>
  <conditionalFormatting sqref="Q3:Q500">
    <cfRule type="cellIs" dxfId="8" priority="1" operator="equal">
      <formula>"RISQUE"</formula>
    </cfRule>
    <cfRule type="cellIs" dxfId="7" priority="2" operator="equal">
      <formula>"TENDU"</formula>
    </cfRule>
    <cfRule type="cellIs" dxfId="6" priority="3" operator="equal">
      <formula>"OK"</formula>
    </cfRule>
    <cfRule type="cellIs" dxfId="5" priority="4" operator="equal">
      <formula>"Résolu"</formula>
    </cfRule>
    <cfRule type="cellIs" dxfId="4" priority="5" operator="equal">
      <formula>"Cible hors PI24"</formula>
    </cfRule>
    <cfRule type="cellIs" dxfId="3" priority="6" operator="equal">
      <formula>"Source hors PI24"</formula>
    </cfRule>
    <cfRule type="cellIs" dxfId="2" priority="7" operator="equal">
      <formula>"Hors PI24"</formula>
    </cfRule>
    <cfRule type="cellIs" dxfId="1" priority="8" operator="equal">
      <formula>"À analyser"</formula>
    </cfRule>
  </conditionalFormatting>
  <conditionalFormatting sqref="R3:R500">
    <cfRule type="cellIs" dxfId="0" priority="9" operator="equal">
      <formula>"OUI"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13EF-6EC2-4F27-B3E7-F4F536E7D1FE}">
  <dimension ref="A1:B14"/>
  <sheetViews>
    <sheetView tabSelected="1" workbookViewId="0">
      <selection activeCell="D17" sqref="D17"/>
    </sheetView>
  </sheetViews>
  <sheetFormatPr defaultColWidth="8.7265625" defaultRowHeight="14.5" x14ac:dyDescent="0.35"/>
  <cols>
    <col min="1" max="1" width="22.6328125" bestFit="1" customWidth="1"/>
    <col min="2" max="2" width="21.90625" bestFit="1" customWidth="1"/>
  </cols>
  <sheetData>
    <row r="1" spans="1:2" ht="16" x14ac:dyDescent="0.4">
      <c r="A1" s="3" t="s">
        <v>0</v>
      </c>
      <c r="B1" s="3" t="s">
        <v>842</v>
      </c>
    </row>
    <row r="2" spans="1:2" x14ac:dyDescent="0.35">
      <c r="A2" t="s">
        <v>13</v>
      </c>
      <c r="B2" t="s">
        <v>839</v>
      </c>
    </row>
    <row r="3" spans="1:2" x14ac:dyDescent="0.35">
      <c r="A3" t="s">
        <v>843</v>
      </c>
      <c r="B3" t="s">
        <v>836</v>
      </c>
    </row>
    <row r="4" spans="1:2" x14ac:dyDescent="0.35">
      <c r="A4" t="s">
        <v>40</v>
      </c>
      <c r="B4" t="s">
        <v>836</v>
      </c>
    </row>
    <row r="5" spans="1:2" x14ac:dyDescent="0.35">
      <c r="A5" t="s">
        <v>95</v>
      </c>
      <c r="B5" t="s">
        <v>854</v>
      </c>
    </row>
    <row r="6" spans="1:2" x14ac:dyDescent="0.35">
      <c r="A6" t="s">
        <v>70</v>
      </c>
      <c r="B6" t="s">
        <v>838</v>
      </c>
    </row>
    <row r="7" spans="1:2" x14ac:dyDescent="0.35">
      <c r="A7" t="s">
        <v>488</v>
      </c>
      <c r="B7" t="s">
        <v>844</v>
      </c>
    </row>
    <row r="8" spans="1:2" x14ac:dyDescent="0.35">
      <c r="A8" t="s">
        <v>113</v>
      </c>
      <c r="B8" t="s">
        <v>840</v>
      </c>
    </row>
    <row r="9" spans="1:2" x14ac:dyDescent="0.35">
      <c r="A9" t="s">
        <v>845</v>
      </c>
      <c r="B9" t="s">
        <v>837</v>
      </c>
    </row>
    <row r="10" spans="1:2" x14ac:dyDescent="0.35">
      <c r="A10" t="s">
        <v>846</v>
      </c>
      <c r="B10" t="s">
        <v>835</v>
      </c>
    </row>
    <row r="11" spans="1:2" x14ac:dyDescent="0.35">
      <c r="A11" t="s">
        <v>847</v>
      </c>
      <c r="B11" t="s">
        <v>848</v>
      </c>
    </row>
    <row r="12" spans="1:2" x14ac:dyDescent="0.35">
      <c r="A12" t="s">
        <v>849</v>
      </c>
      <c r="B12" t="s">
        <v>841</v>
      </c>
    </row>
    <row r="13" spans="1:2" x14ac:dyDescent="0.35">
      <c r="A13" t="s">
        <v>850</v>
      </c>
      <c r="B13" t="s">
        <v>851</v>
      </c>
    </row>
    <row r="14" spans="1:2" x14ac:dyDescent="0.35">
      <c r="A14" t="s">
        <v>852</v>
      </c>
      <c r="B14" t="s">
        <v>853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3e5720-1d8a-4307-9526-1339563d4196" xsi:nil="true"/>
    <lcf76f155ced4ddcb4097134ff3c332f xmlns="c68c6322-97f2-4ff0-a866-e0aaacff42a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1F2E1BF8B9B343AB202DC3B5DA572B" ma:contentTypeVersion="15" ma:contentTypeDescription="Crée un document." ma:contentTypeScope="" ma:versionID="fd42c268c21f8f4d6046e32bc3a8931c">
  <xsd:schema xmlns:xsd="http://www.w3.org/2001/XMLSchema" xmlns:xs="http://www.w3.org/2001/XMLSchema" xmlns:p="http://schemas.microsoft.com/office/2006/metadata/properties" xmlns:ns2="c68c6322-97f2-4ff0-a866-e0aaacff42a3" xmlns:ns3="983e5720-1d8a-4307-9526-1339563d4196" targetNamespace="http://schemas.microsoft.com/office/2006/metadata/properties" ma:root="true" ma:fieldsID="7adb6976d4bac8a9421b04f1b5ad2e44" ns2:_="" ns3:_="">
    <xsd:import namespace="c68c6322-97f2-4ff0-a866-e0aaacff42a3"/>
    <xsd:import namespace="983e5720-1d8a-4307-9526-1339563d41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c6322-97f2-4ff0-a866-e0aaacff4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fedb9b6e-ab26-4314-88d7-24aa3ab36c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e5720-1d8a-4307-9526-1339563d419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8d9060-babd-484e-b8d0-adfa2cc96923}" ma:internalName="TaxCatchAll" ma:showField="CatchAllData" ma:web="983e5720-1d8a-4307-9526-1339563d41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DB93E7-EF88-4136-954F-21A614F97C35}">
  <ds:schemaRefs>
    <ds:schemaRef ds:uri="http://schemas.microsoft.com/office/2006/metadata/properties"/>
    <ds:schemaRef ds:uri="c68c6322-97f2-4ff0-a866-e0aaacff42a3"/>
    <ds:schemaRef ds:uri="http://purl.org/dc/terms/"/>
    <ds:schemaRef ds:uri="983e5720-1d8a-4307-9526-1339563d4196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007146B-ADE5-4A48-AABF-47AD66C803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c6322-97f2-4ff0-a866-e0aaacff42a3"/>
    <ds:schemaRef ds:uri="983e5720-1d8a-4307-9526-1339563d41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A367-F45D-473F-A424-AAA8B0D25D2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DD3FBA6-9097-4621-9919-BBEDFF837E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Features</vt:lpstr>
      <vt:lpstr>US</vt:lpstr>
      <vt:lpstr>US Cleané</vt:lpstr>
      <vt:lpstr>Dépendances_Synthèse</vt:lpstr>
      <vt:lpstr>CONFIG_Squads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LAKOMSKY</dc:creator>
  <cp:lastModifiedBy>Jean LAKOMSKY</cp:lastModifiedBy>
  <dcterms:created xsi:type="dcterms:W3CDTF">2026-04-17T12:08:19Z</dcterms:created>
  <dcterms:modified xsi:type="dcterms:W3CDTF">2026-04-27T20:52:41Z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0x010100611F2E1BF8B9B343AB202DC3B5DA572B</vt:lpwstr>
  </property>
  <property fmtid="{D5CDD505-2E9C-101B-9397-08002B2CF9AE}" pid="3" name="MediaServiceImageTags">
    <vt:lpwstr/>
  </property>
</Properties>
</file>